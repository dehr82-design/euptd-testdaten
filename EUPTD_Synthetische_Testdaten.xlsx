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31996e0e301070e/Dokumente/FR/03_Corp Sust/EUPTD/n8n_Prototype/"/>
    </mc:Choice>
  </mc:AlternateContent>
  <xr:revisionPtr revIDLastSave="0" documentId="11_DC9509066A4BC880EA1306A1E9A529EDA621083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itarbeiterdaten" sheetId="1" r:id="rId1"/>
    <sheet name="Übersicht" sheetId="2" r:id="rId2"/>
    <sheet name="Berechnungen" sheetId="3" r:id="rId3"/>
    <sheet name="Dokument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I12" i="3" s="1"/>
  <c r="G12" i="3"/>
  <c r="D12" i="3"/>
  <c r="C12" i="3"/>
  <c r="B12" i="3"/>
  <c r="I11" i="3"/>
  <c r="H11" i="3"/>
  <c r="G11" i="3"/>
  <c r="D11" i="3"/>
  <c r="C11" i="3"/>
  <c r="B11" i="3"/>
  <c r="I10" i="3"/>
  <c r="H10" i="3"/>
  <c r="G10" i="3"/>
  <c r="D10" i="3"/>
  <c r="C10" i="3"/>
  <c r="B10" i="3"/>
  <c r="I9" i="3"/>
  <c r="H9" i="3"/>
  <c r="G9" i="3"/>
  <c r="D9" i="3"/>
  <c r="C9" i="3"/>
  <c r="B9" i="3"/>
  <c r="I8" i="3"/>
  <c r="H8" i="3"/>
  <c r="G8" i="3"/>
  <c r="D8" i="3"/>
  <c r="E8" i="3" s="1"/>
  <c r="F8" i="3" s="1"/>
  <c r="C8" i="3"/>
  <c r="B8" i="3"/>
  <c r="I7" i="3"/>
  <c r="H7" i="3"/>
  <c r="G7" i="3"/>
  <c r="D7" i="3"/>
  <c r="E7" i="3" s="1"/>
  <c r="F7" i="3" s="1"/>
  <c r="C7" i="3"/>
  <c r="B7" i="3"/>
  <c r="I6" i="3"/>
  <c r="H6" i="3"/>
  <c r="G6" i="3"/>
  <c r="D6" i="3"/>
  <c r="C6" i="3"/>
  <c r="B6" i="3"/>
  <c r="H5" i="3"/>
  <c r="I5" i="3" s="1"/>
  <c r="G5" i="3"/>
  <c r="D5" i="3"/>
  <c r="C5" i="3"/>
  <c r="B5" i="3"/>
  <c r="C13" i="2"/>
  <c r="E13" i="2" s="1"/>
  <c r="B13" i="2"/>
  <c r="C12" i="2"/>
  <c r="B12" i="2"/>
  <c r="B8" i="2"/>
  <c r="B7" i="2"/>
  <c r="C7" i="2" s="1"/>
  <c r="B6" i="2"/>
  <c r="C6" i="2" s="1"/>
  <c r="B5" i="2"/>
  <c r="B16" i="2" s="1"/>
  <c r="E6" i="3" l="1"/>
  <c r="F6" i="3" s="1"/>
  <c r="E9" i="3"/>
  <c r="F9" i="3" s="1"/>
  <c r="E12" i="3"/>
  <c r="F12" i="3" s="1"/>
  <c r="E11" i="3"/>
  <c r="F11" i="3" s="1"/>
  <c r="E12" i="2"/>
  <c r="E10" i="3"/>
  <c r="F10" i="3" s="1"/>
  <c r="E5" i="3"/>
  <c r="F5" i="3" s="1"/>
  <c r="D12" i="2"/>
  <c r="D13" i="2"/>
  <c r="B15" i="3" l="1"/>
</calcChain>
</file>

<file path=xl/sharedStrings.xml><?xml version="1.0" encoding="utf-8"?>
<sst xmlns="http://schemas.openxmlformats.org/spreadsheetml/2006/main" count="2096" uniqueCount="1072">
  <si>
    <t>Mitarbeiter_ID</t>
  </si>
  <si>
    <t>Geschlecht</t>
  </si>
  <si>
    <t>Arbeitnehmergruppe</t>
  </si>
  <si>
    <t>Eintrittsdatum</t>
  </si>
  <si>
    <t>Beschäftigungsjahre</t>
  </si>
  <si>
    <t>Grundgehalt_EUR</t>
  </si>
  <si>
    <t>Variable_Bestandteile_EUR</t>
  </si>
  <si>
    <t>Bruttojahresentgelt_EUR</t>
  </si>
  <si>
    <t>Wochenstunden</t>
  </si>
  <si>
    <t>Vollzeit_Äquivalent</t>
  </si>
  <si>
    <t>Bruttostundenlohn_EUR</t>
  </si>
  <si>
    <t>MA1000</t>
  </si>
  <si>
    <t>M</t>
  </si>
  <si>
    <t>Executive Management</t>
  </si>
  <si>
    <t>2019-12-01</t>
  </si>
  <si>
    <t>MA1001</t>
  </si>
  <si>
    <t>2012-09-09</t>
  </si>
  <si>
    <t>MA1002</t>
  </si>
  <si>
    <t>2020-01-07</t>
  </si>
  <si>
    <t>MA1003</t>
  </si>
  <si>
    <t>2012-09-12</t>
  </si>
  <si>
    <t>MA1004</t>
  </si>
  <si>
    <t>2024-10-10</t>
  </si>
  <si>
    <t>MA1005</t>
  </si>
  <si>
    <t>2018-09-09</t>
  </si>
  <si>
    <t>MA1006</t>
  </si>
  <si>
    <t>2017-05-16</t>
  </si>
  <si>
    <t>MA1007</t>
  </si>
  <si>
    <t>2017-03-17</t>
  </si>
  <si>
    <t>MA1008</t>
  </si>
  <si>
    <t>2012-11-23</t>
  </si>
  <si>
    <t>MA1009</t>
  </si>
  <si>
    <t>2023-02-26</t>
  </si>
  <si>
    <t>MA1010</t>
  </si>
  <si>
    <t>F</t>
  </si>
  <si>
    <t>2016-10-23</t>
  </si>
  <si>
    <t>MA1011</t>
  </si>
  <si>
    <t>2018-06-07</t>
  </si>
  <si>
    <t>MA1012</t>
  </si>
  <si>
    <t>2016-09-27</t>
  </si>
  <si>
    <t>MA1013</t>
  </si>
  <si>
    <t>2023-04-28</t>
  </si>
  <si>
    <t>MA1014</t>
  </si>
  <si>
    <t>2018-11-13</t>
  </si>
  <si>
    <t>MA1015</t>
  </si>
  <si>
    <t>2019-10-14</t>
  </si>
  <si>
    <t>MA1016</t>
  </si>
  <si>
    <t>2012-03-14</t>
  </si>
  <si>
    <t>MA1017</t>
  </si>
  <si>
    <t>2014-08-19</t>
  </si>
  <si>
    <t>MA1018</t>
  </si>
  <si>
    <t>2011-10-24</t>
  </si>
  <si>
    <t>MA1019</t>
  </si>
  <si>
    <t>2013-06-29</t>
  </si>
  <si>
    <t>MA1020</t>
  </si>
  <si>
    <t>Senior Leadership</t>
  </si>
  <si>
    <t>2021-06-29</t>
  </si>
  <si>
    <t>MA1021</t>
  </si>
  <si>
    <t>2015-06-15</t>
  </si>
  <si>
    <t>MA1022</t>
  </si>
  <si>
    <t>2014-06-04</t>
  </si>
  <si>
    <t>MA1023</t>
  </si>
  <si>
    <t>2024-08-30</t>
  </si>
  <si>
    <t>MA1024</t>
  </si>
  <si>
    <t>2018-12-09</t>
  </si>
  <si>
    <t>MA1025</t>
  </si>
  <si>
    <t>2021-05-17</t>
  </si>
  <si>
    <t>MA1026</t>
  </si>
  <si>
    <t>2019-01-06</t>
  </si>
  <si>
    <t>MA1027</t>
  </si>
  <si>
    <t>2013-07-15</t>
  </si>
  <si>
    <t>MA1028</t>
  </si>
  <si>
    <t>2018-03-25</t>
  </si>
  <si>
    <t>MA1029</t>
  </si>
  <si>
    <t>2016-07-14</t>
  </si>
  <si>
    <t>MA1030</t>
  </si>
  <si>
    <t>2013-01-10</t>
  </si>
  <si>
    <t>MA1031</t>
  </si>
  <si>
    <t>2022-05-31</t>
  </si>
  <si>
    <t>MA1032</t>
  </si>
  <si>
    <t>2018-01-09</t>
  </si>
  <si>
    <t>MA1033</t>
  </si>
  <si>
    <t>MA1034</t>
  </si>
  <si>
    <t>2012-12-22</t>
  </si>
  <si>
    <t>MA1035</t>
  </si>
  <si>
    <t>2012-08-04</t>
  </si>
  <si>
    <t>MA1036</t>
  </si>
  <si>
    <t>2020-03-03</t>
  </si>
  <si>
    <t>MA1037</t>
  </si>
  <si>
    <t>2020-05-30</t>
  </si>
  <si>
    <t>MA1038</t>
  </si>
  <si>
    <t>2016-07-18</t>
  </si>
  <si>
    <t>MA1039</t>
  </si>
  <si>
    <t>2019-11-19</t>
  </si>
  <si>
    <t>MA1040</t>
  </si>
  <si>
    <t>2011-09-22</t>
  </si>
  <si>
    <t>MA1041</t>
  </si>
  <si>
    <t>2019-10-15</t>
  </si>
  <si>
    <t>MA1042</t>
  </si>
  <si>
    <t>2013-05-23</t>
  </si>
  <si>
    <t>MA1043</t>
  </si>
  <si>
    <t>2020-02-12</t>
  </si>
  <si>
    <t>MA1044</t>
  </si>
  <si>
    <t>2012-02-12</t>
  </si>
  <si>
    <t>MA1045</t>
  </si>
  <si>
    <t>2015-10-17</t>
  </si>
  <si>
    <t>MA1046</t>
  </si>
  <si>
    <t>2014-06-13</t>
  </si>
  <si>
    <t>MA1047</t>
  </si>
  <si>
    <t>2022-06-21</t>
  </si>
  <si>
    <t>MA1048</t>
  </si>
  <si>
    <t>2018-09-04</t>
  </si>
  <si>
    <t>MA1049</t>
  </si>
  <si>
    <t>2012-07-30</t>
  </si>
  <si>
    <t>MA1050</t>
  </si>
  <si>
    <t>2022-10-30</t>
  </si>
  <si>
    <t>MA1051</t>
  </si>
  <si>
    <t>2023-08-10</t>
  </si>
  <si>
    <t>MA1052</t>
  </si>
  <si>
    <t>2014-09-19</t>
  </si>
  <si>
    <t>MA1053</t>
  </si>
  <si>
    <t>2012-06-16</t>
  </si>
  <si>
    <t>MA1054</t>
  </si>
  <si>
    <t>2012-10-05</t>
  </si>
  <si>
    <t>MA1055</t>
  </si>
  <si>
    <t>2013-01-04</t>
  </si>
  <si>
    <t>MA1056</t>
  </si>
  <si>
    <t>2011-07-30</t>
  </si>
  <si>
    <t>MA1057</t>
  </si>
  <si>
    <t>2012-02-23</t>
  </si>
  <si>
    <t>MA1058</t>
  </si>
  <si>
    <t>2015-07-09</t>
  </si>
  <si>
    <t>MA1059</t>
  </si>
  <si>
    <t>2020-05-04</t>
  </si>
  <si>
    <t>MA1060</t>
  </si>
  <si>
    <t>2014-09-01</t>
  </si>
  <si>
    <t>MA1061</t>
  </si>
  <si>
    <t>2012-04-17</t>
  </si>
  <si>
    <t>MA1062</t>
  </si>
  <si>
    <t>2017-02-03</t>
  </si>
  <si>
    <t>MA1063</t>
  </si>
  <si>
    <t>2018-02-19</t>
  </si>
  <si>
    <t>MA1064</t>
  </si>
  <si>
    <t>2018-03-17</t>
  </si>
  <si>
    <t>MA1065</t>
  </si>
  <si>
    <t>2012-07-06</t>
  </si>
  <si>
    <t>MA1066</t>
  </si>
  <si>
    <t>2019-01-01</t>
  </si>
  <si>
    <t>MA1067</t>
  </si>
  <si>
    <t>2023-10-13</t>
  </si>
  <si>
    <t>MA1068</t>
  </si>
  <si>
    <t>2021-12-27</t>
  </si>
  <si>
    <t>MA1069</t>
  </si>
  <si>
    <t>2024-09-14</t>
  </si>
  <si>
    <t>MA1070</t>
  </si>
  <si>
    <t>Engineering</t>
  </si>
  <si>
    <t>2021-07-30</t>
  </si>
  <si>
    <t>MA1071</t>
  </si>
  <si>
    <t>2011-11-10</t>
  </si>
  <si>
    <t>MA1072</t>
  </si>
  <si>
    <t>2023-12-26</t>
  </si>
  <si>
    <t>MA1073</t>
  </si>
  <si>
    <t>2024-01-11</t>
  </si>
  <si>
    <t>MA1074</t>
  </si>
  <si>
    <t>2022-08-13</t>
  </si>
  <si>
    <t>MA1075</t>
  </si>
  <si>
    <t>2015-10-22</t>
  </si>
  <si>
    <t>MA1076</t>
  </si>
  <si>
    <t>2019-08-12</t>
  </si>
  <si>
    <t>MA1077</t>
  </si>
  <si>
    <t>2020-12-13</t>
  </si>
  <si>
    <t>MA1078</t>
  </si>
  <si>
    <t>2017-06-21</t>
  </si>
  <si>
    <t>MA1079</t>
  </si>
  <si>
    <t>2019-05-11</t>
  </si>
  <si>
    <t>MA1080</t>
  </si>
  <si>
    <t>2022-07-01</t>
  </si>
  <si>
    <t>MA1081</t>
  </si>
  <si>
    <t>2020-06-12</t>
  </si>
  <si>
    <t>MA1082</t>
  </si>
  <si>
    <t>2018-01-28</t>
  </si>
  <si>
    <t>MA1083</t>
  </si>
  <si>
    <t>2019-12-03</t>
  </si>
  <si>
    <t>MA1084</t>
  </si>
  <si>
    <t>2023-05-14</t>
  </si>
  <si>
    <t>MA1085</t>
  </si>
  <si>
    <t>2015-12-16</t>
  </si>
  <si>
    <t>MA1086</t>
  </si>
  <si>
    <t>2017-06-30</t>
  </si>
  <si>
    <t>MA1087</t>
  </si>
  <si>
    <t>2020-12-01</t>
  </si>
  <si>
    <t>MA1088</t>
  </si>
  <si>
    <t>2024-01-24</t>
  </si>
  <si>
    <t>MA1089</t>
  </si>
  <si>
    <t>2017-11-20</t>
  </si>
  <si>
    <t>MA1090</t>
  </si>
  <si>
    <t>2022-04-30</t>
  </si>
  <si>
    <t>MA1091</t>
  </si>
  <si>
    <t>2019-03-18</t>
  </si>
  <si>
    <t>MA1092</t>
  </si>
  <si>
    <t>2013-04-05</t>
  </si>
  <si>
    <t>MA1093</t>
  </si>
  <si>
    <t>2020-07-02</t>
  </si>
  <si>
    <t>MA1094</t>
  </si>
  <si>
    <t>2017-07-08</t>
  </si>
  <si>
    <t>MA1095</t>
  </si>
  <si>
    <t>2022-02-16</t>
  </si>
  <si>
    <t>MA1096</t>
  </si>
  <si>
    <t>2015-10-06</t>
  </si>
  <si>
    <t>MA1097</t>
  </si>
  <si>
    <t>2012-06-27</t>
  </si>
  <si>
    <t>MA1098</t>
  </si>
  <si>
    <t>2016-06-02</t>
  </si>
  <si>
    <t>MA1099</t>
  </si>
  <si>
    <t>2011-02-12</t>
  </si>
  <si>
    <t>MA1100</t>
  </si>
  <si>
    <t>2024-11-29</t>
  </si>
  <si>
    <t>MA1101</t>
  </si>
  <si>
    <t>2011-04-26</t>
  </si>
  <si>
    <t>MA1102</t>
  </si>
  <si>
    <t>2015-01-02</t>
  </si>
  <si>
    <t>MA1103</t>
  </si>
  <si>
    <t>2021-02-11</t>
  </si>
  <si>
    <t>MA1104</t>
  </si>
  <si>
    <t>2011-01-13</t>
  </si>
  <si>
    <t>MA1105</t>
  </si>
  <si>
    <t>2019-08-27</t>
  </si>
  <si>
    <t>MA1106</t>
  </si>
  <si>
    <t>2024-05-16</t>
  </si>
  <si>
    <t>MA1107</t>
  </si>
  <si>
    <t>2011-03-19</t>
  </si>
  <si>
    <t>MA1108</t>
  </si>
  <si>
    <t>2012-01-05</t>
  </si>
  <si>
    <t>MA1109</t>
  </si>
  <si>
    <t>2013-11-01</t>
  </si>
  <si>
    <t>MA1110</t>
  </si>
  <si>
    <t>2022-07-13</t>
  </si>
  <si>
    <t>MA1111</t>
  </si>
  <si>
    <t>2013-04-21</t>
  </si>
  <si>
    <t>MA1112</t>
  </si>
  <si>
    <t>2022-03-14</t>
  </si>
  <si>
    <t>MA1113</t>
  </si>
  <si>
    <t>2013-01-03</t>
  </si>
  <si>
    <t>MA1114</t>
  </si>
  <si>
    <t>2014-12-30</t>
  </si>
  <si>
    <t>MA1115</t>
  </si>
  <si>
    <t>2013-08-07</t>
  </si>
  <si>
    <t>MA1116</t>
  </si>
  <si>
    <t>2014-12-03</t>
  </si>
  <si>
    <t>MA1117</t>
  </si>
  <si>
    <t>2014-04-11</t>
  </si>
  <si>
    <t>MA1118</t>
  </si>
  <si>
    <t>2018-09-14</t>
  </si>
  <si>
    <t>MA1119</t>
  </si>
  <si>
    <t>2019-07-23</t>
  </si>
  <si>
    <t>MA1120</t>
  </si>
  <si>
    <t>2018-10-30</t>
  </si>
  <si>
    <t>MA1121</t>
  </si>
  <si>
    <t>2023-02-11</t>
  </si>
  <si>
    <t>MA1122</t>
  </si>
  <si>
    <t>2020-02-15</t>
  </si>
  <si>
    <t>MA1123</t>
  </si>
  <si>
    <t>2012-10-01</t>
  </si>
  <si>
    <t>MA1124</t>
  </si>
  <si>
    <t>2016-03-09</t>
  </si>
  <si>
    <t>MA1125</t>
  </si>
  <si>
    <t>2024-06-25</t>
  </si>
  <si>
    <t>MA1126</t>
  </si>
  <si>
    <t>2016-05-22</t>
  </si>
  <si>
    <t>MA1127</t>
  </si>
  <si>
    <t>2018-03-23</t>
  </si>
  <si>
    <t>MA1128</t>
  </si>
  <si>
    <t>2015-07-11</t>
  </si>
  <si>
    <t>MA1129</t>
  </si>
  <si>
    <t>2011-05-24</t>
  </si>
  <si>
    <t>MA1130</t>
  </si>
  <si>
    <t>2018-10-20</t>
  </si>
  <si>
    <t>MA1131</t>
  </si>
  <si>
    <t>2015-11-08</t>
  </si>
  <si>
    <t>MA1132</t>
  </si>
  <si>
    <t>2012-12-10</t>
  </si>
  <si>
    <t>MA1133</t>
  </si>
  <si>
    <t>2023-01-15</t>
  </si>
  <si>
    <t>MA1134</t>
  </si>
  <si>
    <t>2017-07-31</t>
  </si>
  <si>
    <t>MA1135</t>
  </si>
  <si>
    <t>MA1136</t>
  </si>
  <si>
    <t>2012-10-28</t>
  </si>
  <si>
    <t>MA1137</t>
  </si>
  <si>
    <t>2024-01-08</t>
  </si>
  <si>
    <t>MA1138</t>
  </si>
  <si>
    <t>2022-02-02</t>
  </si>
  <si>
    <t>MA1139</t>
  </si>
  <si>
    <t>2016-08-25</t>
  </si>
  <si>
    <t>MA1140</t>
  </si>
  <si>
    <t>2022-05-09</t>
  </si>
  <si>
    <t>MA1141</t>
  </si>
  <si>
    <t>2016-07-03</t>
  </si>
  <si>
    <t>MA1142</t>
  </si>
  <si>
    <t>2019-06-23</t>
  </si>
  <si>
    <t>MA1143</t>
  </si>
  <si>
    <t>2022-03-17</t>
  </si>
  <si>
    <t>MA1144</t>
  </si>
  <si>
    <t>2016-08-11</t>
  </si>
  <si>
    <t>MA1145</t>
  </si>
  <si>
    <t>2013-12-05</t>
  </si>
  <si>
    <t>MA1146</t>
  </si>
  <si>
    <t>2014-08-11</t>
  </si>
  <si>
    <t>MA1147</t>
  </si>
  <si>
    <t>2018-11-12</t>
  </si>
  <si>
    <t>MA1148</t>
  </si>
  <si>
    <t>2011-08-20</t>
  </si>
  <si>
    <t>MA1149</t>
  </si>
  <si>
    <t>2022-12-24</t>
  </si>
  <si>
    <t>MA1150</t>
  </si>
  <si>
    <t>2011-03-27</t>
  </si>
  <si>
    <t>MA1151</t>
  </si>
  <si>
    <t>2020-11-04</t>
  </si>
  <si>
    <t>MA1152</t>
  </si>
  <si>
    <t>2011-07-21</t>
  </si>
  <si>
    <t>MA1153</t>
  </si>
  <si>
    <t>2023-01-01</t>
  </si>
  <si>
    <t>MA1154</t>
  </si>
  <si>
    <t>2014-03-30</t>
  </si>
  <si>
    <t>MA1155</t>
  </si>
  <si>
    <t>2019-06-19</t>
  </si>
  <si>
    <t>MA1156</t>
  </si>
  <si>
    <t>2017-03-18</t>
  </si>
  <si>
    <t>MA1157</t>
  </si>
  <si>
    <t>2018-11-05</t>
  </si>
  <si>
    <t>MA1158</t>
  </si>
  <si>
    <t>2017-11-05</t>
  </si>
  <si>
    <t>MA1159</t>
  </si>
  <si>
    <t>2020-08-16</t>
  </si>
  <si>
    <t>MA1160</t>
  </si>
  <si>
    <t>2013-02-26</t>
  </si>
  <si>
    <t>MA1161</t>
  </si>
  <si>
    <t>2018-04-12</t>
  </si>
  <si>
    <t>MA1162</t>
  </si>
  <si>
    <t>2018-10-08</t>
  </si>
  <si>
    <t>MA1163</t>
  </si>
  <si>
    <t>MA1164</t>
  </si>
  <si>
    <t>2014-05-24</t>
  </si>
  <si>
    <t>MA1165</t>
  </si>
  <si>
    <t>2019-04-05</t>
  </si>
  <si>
    <t>MA1166</t>
  </si>
  <si>
    <t>2023-04-06</t>
  </si>
  <si>
    <t>MA1167</t>
  </si>
  <si>
    <t>2018-02-08</t>
  </si>
  <si>
    <t>MA1168</t>
  </si>
  <si>
    <t>2011-04-29</t>
  </si>
  <si>
    <t>MA1169</t>
  </si>
  <si>
    <t>2014-10-26</t>
  </si>
  <si>
    <t>MA1170</t>
  </si>
  <si>
    <t>2018-01-27</t>
  </si>
  <si>
    <t>MA1171</t>
  </si>
  <si>
    <t>2022-09-12</t>
  </si>
  <si>
    <t>MA1172</t>
  </si>
  <si>
    <t>2012-07-17</t>
  </si>
  <si>
    <t>MA1173</t>
  </si>
  <si>
    <t>2011-08-09</t>
  </si>
  <si>
    <t>MA1174</t>
  </si>
  <si>
    <t>2014-09-27</t>
  </si>
  <si>
    <t>MA1175</t>
  </si>
  <si>
    <t>2011-09-11</t>
  </si>
  <si>
    <t>MA1176</t>
  </si>
  <si>
    <t>2018-12-18</t>
  </si>
  <si>
    <t>MA1177</t>
  </si>
  <si>
    <t>MA1178</t>
  </si>
  <si>
    <t>2018-02-06</t>
  </si>
  <si>
    <t>MA1179</t>
  </si>
  <si>
    <t>2023-02-13</t>
  </si>
  <si>
    <t>MA1180</t>
  </si>
  <si>
    <t>2011-05-20</t>
  </si>
  <si>
    <t>MA1181</t>
  </si>
  <si>
    <t>2012-01-08</t>
  </si>
  <si>
    <t>MA1182</t>
  </si>
  <si>
    <t>2018-11-17</t>
  </si>
  <si>
    <t>MA1183</t>
  </si>
  <si>
    <t>MA1184</t>
  </si>
  <si>
    <t>2013-11-22</t>
  </si>
  <si>
    <t>MA1185</t>
  </si>
  <si>
    <t>2021-04-25</t>
  </si>
  <si>
    <t>MA1186</t>
  </si>
  <si>
    <t>2012-08-01</t>
  </si>
  <si>
    <t>MA1187</t>
  </si>
  <si>
    <t>2015-11-09</t>
  </si>
  <si>
    <t>MA1188</t>
  </si>
  <si>
    <t>2015-08-27</t>
  </si>
  <si>
    <t>MA1189</t>
  </si>
  <si>
    <t>2013-09-28</t>
  </si>
  <si>
    <t>MA1190</t>
  </si>
  <si>
    <t>Sales &amp; Marketing</t>
  </si>
  <si>
    <t>2015-02-04</t>
  </si>
  <si>
    <t>MA1191</t>
  </si>
  <si>
    <t>2011-04-08</t>
  </si>
  <si>
    <t>MA1192</t>
  </si>
  <si>
    <t>2024-08-12</t>
  </si>
  <si>
    <t>MA1193</t>
  </si>
  <si>
    <t>2022-05-18</t>
  </si>
  <si>
    <t>MA1194</t>
  </si>
  <si>
    <t>2013-09-29</t>
  </si>
  <si>
    <t>MA1195</t>
  </si>
  <si>
    <t>2015-08-09</t>
  </si>
  <si>
    <t>MA1196</t>
  </si>
  <si>
    <t>2019-06-16</t>
  </si>
  <si>
    <t>MA1197</t>
  </si>
  <si>
    <t>2011-06-24</t>
  </si>
  <si>
    <t>MA1198</t>
  </si>
  <si>
    <t>2023-05-11</t>
  </si>
  <si>
    <t>MA1199</t>
  </si>
  <si>
    <t>2013-07-14</t>
  </si>
  <si>
    <t>MA1200</t>
  </si>
  <si>
    <t>2011-10-04</t>
  </si>
  <si>
    <t>MA1201</t>
  </si>
  <si>
    <t>2014-11-27</t>
  </si>
  <si>
    <t>MA1202</t>
  </si>
  <si>
    <t>2012-09-25</t>
  </si>
  <si>
    <t>MA1203</t>
  </si>
  <si>
    <t>2020-09-09</t>
  </si>
  <si>
    <t>MA1204</t>
  </si>
  <si>
    <t>2015-09-16</t>
  </si>
  <si>
    <t>MA1205</t>
  </si>
  <si>
    <t>2016-05-15</t>
  </si>
  <si>
    <t>MA1206</t>
  </si>
  <si>
    <t>2021-07-05</t>
  </si>
  <si>
    <t>MA1207</t>
  </si>
  <si>
    <t>2011-09-08</t>
  </si>
  <si>
    <t>MA1208</t>
  </si>
  <si>
    <t>2022-09-08</t>
  </si>
  <si>
    <t>MA1209</t>
  </si>
  <si>
    <t>2015-09-23</t>
  </si>
  <si>
    <t>MA1210</t>
  </si>
  <si>
    <t>2023-03-31</t>
  </si>
  <si>
    <t>MA1211</t>
  </si>
  <si>
    <t>2017-04-30</t>
  </si>
  <si>
    <t>MA1212</t>
  </si>
  <si>
    <t>2017-07-21</t>
  </si>
  <si>
    <t>MA1213</t>
  </si>
  <si>
    <t>2016-05-25</t>
  </si>
  <si>
    <t>MA1214</t>
  </si>
  <si>
    <t>2013-12-23</t>
  </si>
  <si>
    <t>MA1215</t>
  </si>
  <si>
    <t>2018-06-23</t>
  </si>
  <si>
    <t>MA1216</t>
  </si>
  <si>
    <t>2022-09-18</t>
  </si>
  <si>
    <t>MA1217</t>
  </si>
  <si>
    <t>2021-03-11</t>
  </si>
  <si>
    <t>MA1218</t>
  </si>
  <si>
    <t>2023-11-22</t>
  </si>
  <si>
    <t>MA1219</t>
  </si>
  <si>
    <t>2015-04-06</t>
  </si>
  <si>
    <t>MA1220</t>
  </si>
  <si>
    <t>2020-11-18</t>
  </si>
  <si>
    <t>MA1221</t>
  </si>
  <si>
    <t>2011-01-09</t>
  </si>
  <si>
    <t>MA1222</t>
  </si>
  <si>
    <t>2019-09-18</t>
  </si>
  <si>
    <t>MA1223</t>
  </si>
  <si>
    <t>2024-09-17</t>
  </si>
  <si>
    <t>MA1224</t>
  </si>
  <si>
    <t>2012-08-30</t>
  </si>
  <si>
    <t>MA1225</t>
  </si>
  <si>
    <t>2011-09-29</t>
  </si>
  <si>
    <t>MA1226</t>
  </si>
  <si>
    <t>2019-04-25</t>
  </si>
  <si>
    <t>MA1227</t>
  </si>
  <si>
    <t>2014-01-31</t>
  </si>
  <si>
    <t>MA1228</t>
  </si>
  <si>
    <t>2018-04-15</t>
  </si>
  <si>
    <t>MA1229</t>
  </si>
  <si>
    <t>2016-01-17</t>
  </si>
  <si>
    <t>MA1230</t>
  </si>
  <si>
    <t>2023-10-28</t>
  </si>
  <si>
    <t>MA1231</t>
  </si>
  <si>
    <t>2019-10-05</t>
  </si>
  <si>
    <t>MA1232</t>
  </si>
  <si>
    <t>2021-11-08</t>
  </si>
  <si>
    <t>MA1233</t>
  </si>
  <si>
    <t>2021-12-22</t>
  </si>
  <si>
    <t>MA1234</t>
  </si>
  <si>
    <t>MA1235</t>
  </si>
  <si>
    <t>2014-02-11</t>
  </si>
  <si>
    <t>MA1236</t>
  </si>
  <si>
    <t>2019-11-11</t>
  </si>
  <si>
    <t>MA1237</t>
  </si>
  <si>
    <t>2012-11-20</t>
  </si>
  <si>
    <t>MA1238</t>
  </si>
  <si>
    <t>2016-05-17</t>
  </si>
  <si>
    <t>MA1239</t>
  </si>
  <si>
    <t>2012-04-30</t>
  </si>
  <si>
    <t>MA1240</t>
  </si>
  <si>
    <t>2018-02-22</t>
  </si>
  <si>
    <t>MA1241</t>
  </si>
  <si>
    <t>2018-02-04</t>
  </si>
  <si>
    <t>MA1242</t>
  </si>
  <si>
    <t>2021-11-17</t>
  </si>
  <si>
    <t>MA1243</t>
  </si>
  <si>
    <t>2012-10-21</t>
  </si>
  <si>
    <t>MA1244</t>
  </si>
  <si>
    <t>2022-09-13</t>
  </si>
  <si>
    <t>MA1245</t>
  </si>
  <si>
    <t>2024-03-09</t>
  </si>
  <si>
    <t>MA1246</t>
  </si>
  <si>
    <t>2016-10-14</t>
  </si>
  <si>
    <t>MA1247</t>
  </si>
  <si>
    <t>2016-11-16</t>
  </si>
  <si>
    <t>MA1248</t>
  </si>
  <si>
    <t>2014-09-21</t>
  </si>
  <si>
    <t>MA1249</t>
  </si>
  <si>
    <t>2017-06-10</t>
  </si>
  <si>
    <t>MA1250</t>
  </si>
  <si>
    <t>2012-06-28</t>
  </si>
  <si>
    <t>MA1251</t>
  </si>
  <si>
    <t>MA1252</t>
  </si>
  <si>
    <t>2021-09-04</t>
  </si>
  <si>
    <t>MA1253</t>
  </si>
  <si>
    <t>2024-05-05</t>
  </si>
  <si>
    <t>MA1254</t>
  </si>
  <si>
    <t>2024-07-26</t>
  </si>
  <si>
    <t>MA1255</t>
  </si>
  <si>
    <t>2023-07-01</t>
  </si>
  <si>
    <t>MA1256</t>
  </si>
  <si>
    <t>2013-08-15</t>
  </si>
  <si>
    <t>MA1257</t>
  </si>
  <si>
    <t>2013-03-24</t>
  </si>
  <si>
    <t>MA1258</t>
  </si>
  <si>
    <t>2015-11-30</t>
  </si>
  <si>
    <t>MA1259</t>
  </si>
  <si>
    <t>2023-04-10</t>
  </si>
  <si>
    <t>MA1260</t>
  </si>
  <si>
    <t>2011-10-17</t>
  </si>
  <si>
    <t>MA1261</t>
  </si>
  <si>
    <t>2013-08-01</t>
  </si>
  <si>
    <t>MA1262</t>
  </si>
  <si>
    <t>2012-07-22</t>
  </si>
  <si>
    <t>MA1263</t>
  </si>
  <si>
    <t>2014-10-01</t>
  </si>
  <si>
    <t>MA1264</t>
  </si>
  <si>
    <t>2019-03-16</t>
  </si>
  <si>
    <t>MA1265</t>
  </si>
  <si>
    <t>2023-01-03</t>
  </si>
  <si>
    <t>MA1266</t>
  </si>
  <si>
    <t>2012-06-11</t>
  </si>
  <si>
    <t>MA1267</t>
  </si>
  <si>
    <t>MA1268</t>
  </si>
  <si>
    <t>2011-06-16</t>
  </si>
  <si>
    <t>MA1269</t>
  </si>
  <si>
    <t>2014-02-08</t>
  </si>
  <si>
    <t>MA1270</t>
  </si>
  <si>
    <t>Product Management</t>
  </si>
  <si>
    <t>2022-05-06</t>
  </si>
  <si>
    <t>MA1271</t>
  </si>
  <si>
    <t>2015-04-19</t>
  </si>
  <si>
    <t>MA1272</t>
  </si>
  <si>
    <t>2010-12-23</t>
  </si>
  <si>
    <t>MA1273</t>
  </si>
  <si>
    <t>2024-05-01</t>
  </si>
  <si>
    <t>MA1274</t>
  </si>
  <si>
    <t>2018-12-04</t>
  </si>
  <si>
    <t>MA1275</t>
  </si>
  <si>
    <t>2017-04-20</t>
  </si>
  <si>
    <t>MA1276</t>
  </si>
  <si>
    <t>2015-12-07</t>
  </si>
  <si>
    <t>MA1277</t>
  </si>
  <si>
    <t>2024-03-26</t>
  </si>
  <si>
    <t>MA1278</t>
  </si>
  <si>
    <t>2016-06-26</t>
  </si>
  <si>
    <t>MA1279</t>
  </si>
  <si>
    <t>2017-08-24</t>
  </si>
  <si>
    <t>MA1280</t>
  </si>
  <si>
    <t>2023-01-07</t>
  </si>
  <si>
    <t>MA1281</t>
  </si>
  <si>
    <t>2023-10-22</t>
  </si>
  <si>
    <t>MA1282</t>
  </si>
  <si>
    <t>2014-01-11</t>
  </si>
  <si>
    <t>MA1283</t>
  </si>
  <si>
    <t>2013-06-06</t>
  </si>
  <si>
    <t>MA1284</t>
  </si>
  <si>
    <t>2011-08-15</t>
  </si>
  <si>
    <t>MA1285</t>
  </si>
  <si>
    <t>2023-11-26</t>
  </si>
  <si>
    <t>MA1286</t>
  </si>
  <si>
    <t>2023-09-11</t>
  </si>
  <si>
    <t>MA1287</t>
  </si>
  <si>
    <t>2021-11-04</t>
  </si>
  <si>
    <t>MA1288</t>
  </si>
  <si>
    <t>2013-10-07</t>
  </si>
  <si>
    <t>MA1289</t>
  </si>
  <si>
    <t>MA1290</t>
  </si>
  <si>
    <t>2016-12-23</t>
  </si>
  <si>
    <t>MA1291</t>
  </si>
  <si>
    <t>2023-12-22</t>
  </si>
  <si>
    <t>MA1292</t>
  </si>
  <si>
    <t>2017-11-25</t>
  </si>
  <si>
    <t>MA1293</t>
  </si>
  <si>
    <t>2015-07-22</t>
  </si>
  <si>
    <t>MA1294</t>
  </si>
  <si>
    <t>2021-01-25</t>
  </si>
  <si>
    <t>MA1295</t>
  </si>
  <si>
    <t>2016-10-21</t>
  </si>
  <si>
    <t>MA1296</t>
  </si>
  <si>
    <t>MA1297</t>
  </si>
  <si>
    <t>2017-12-18</t>
  </si>
  <si>
    <t>MA1298</t>
  </si>
  <si>
    <t>2023-03-18</t>
  </si>
  <si>
    <t>MA1299</t>
  </si>
  <si>
    <t>2017-01-31</t>
  </si>
  <si>
    <t>MA1300</t>
  </si>
  <si>
    <t>2021-08-11</t>
  </si>
  <si>
    <t>MA1301</t>
  </si>
  <si>
    <t>2023-03-26</t>
  </si>
  <si>
    <t>MA1302</t>
  </si>
  <si>
    <t>2011-12-04</t>
  </si>
  <si>
    <t>MA1303</t>
  </si>
  <si>
    <t>2017-09-03</t>
  </si>
  <si>
    <t>MA1304</t>
  </si>
  <si>
    <t>2018-10-05</t>
  </si>
  <si>
    <t>MA1305</t>
  </si>
  <si>
    <t>2024-01-29</t>
  </si>
  <si>
    <t>MA1306</t>
  </si>
  <si>
    <t>2022-11-24</t>
  </si>
  <si>
    <t>MA1307</t>
  </si>
  <si>
    <t>2024-01-01</t>
  </si>
  <si>
    <t>MA1308</t>
  </si>
  <si>
    <t>2021-07-16</t>
  </si>
  <si>
    <t>MA1309</t>
  </si>
  <si>
    <t>2017-03-21</t>
  </si>
  <si>
    <t>MA1310</t>
  </si>
  <si>
    <t>2015-01-25</t>
  </si>
  <si>
    <t>MA1311</t>
  </si>
  <si>
    <t>2016-03-26</t>
  </si>
  <si>
    <t>MA1312</t>
  </si>
  <si>
    <t>2017-06-01</t>
  </si>
  <si>
    <t>MA1313</t>
  </si>
  <si>
    <t>2018-07-20</t>
  </si>
  <si>
    <t>MA1314</t>
  </si>
  <si>
    <t>2021-10-01</t>
  </si>
  <si>
    <t>MA1315</t>
  </si>
  <si>
    <t>2016-02-18</t>
  </si>
  <si>
    <t>MA1316</t>
  </si>
  <si>
    <t>2017-07-22</t>
  </si>
  <si>
    <t>MA1317</t>
  </si>
  <si>
    <t>2013-07-08</t>
  </si>
  <si>
    <t>MA1318</t>
  </si>
  <si>
    <t>2014-01-06</t>
  </si>
  <si>
    <t>MA1319</t>
  </si>
  <si>
    <t>2022-08-27</t>
  </si>
  <si>
    <t>MA1320</t>
  </si>
  <si>
    <t>2024-01-28</t>
  </si>
  <si>
    <t>MA1321</t>
  </si>
  <si>
    <t>2021-03-17</t>
  </si>
  <si>
    <t>MA1322</t>
  </si>
  <si>
    <t>2019-08-06</t>
  </si>
  <si>
    <t>MA1323</t>
  </si>
  <si>
    <t>2014-11-08</t>
  </si>
  <si>
    <t>MA1324</t>
  </si>
  <si>
    <t>2014-05-27</t>
  </si>
  <si>
    <t>MA1325</t>
  </si>
  <si>
    <t>2015-01-15</t>
  </si>
  <si>
    <t>MA1326</t>
  </si>
  <si>
    <t>2015-07-14</t>
  </si>
  <si>
    <t>MA1327</t>
  </si>
  <si>
    <t>2014-02-22</t>
  </si>
  <si>
    <t>MA1328</t>
  </si>
  <si>
    <t>2013-05-08</t>
  </si>
  <si>
    <t>MA1329</t>
  </si>
  <si>
    <t>2013-05-29</t>
  </si>
  <si>
    <t>MA1330</t>
  </si>
  <si>
    <t>Operations</t>
  </si>
  <si>
    <t>2014-10-21</t>
  </si>
  <si>
    <t>MA1331</t>
  </si>
  <si>
    <t>2015-08-14</t>
  </si>
  <si>
    <t>MA1332</t>
  </si>
  <si>
    <t>2019-08-20</t>
  </si>
  <si>
    <t>MA1333</t>
  </si>
  <si>
    <t>2017-10-10</t>
  </si>
  <si>
    <t>MA1334</t>
  </si>
  <si>
    <t>2017-05-27</t>
  </si>
  <si>
    <t>MA1335</t>
  </si>
  <si>
    <t>2014-04-29</t>
  </si>
  <si>
    <t>MA1336</t>
  </si>
  <si>
    <t>2014-11-11</t>
  </si>
  <si>
    <t>MA1337</t>
  </si>
  <si>
    <t>2024-06-30</t>
  </si>
  <si>
    <t>MA1338</t>
  </si>
  <si>
    <t>2012-08-12</t>
  </si>
  <si>
    <t>MA1339</t>
  </si>
  <si>
    <t>2015-06-06</t>
  </si>
  <si>
    <t>MA1340</t>
  </si>
  <si>
    <t>2023-11-07</t>
  </si>
  <si>
    <t>MA1341</t>
  </si>
  <si>
    <t>2010-12-14</t>
  </si>
  <si>
    <t>MA1342</t>
  </si>
  <si>
    <t>2011-07-16</t>
  </si>
  <si>
    <t>MA1343</t>
  </si>
  <si>
    <t>2012-01-10</t>
  </si>
  <si>
    <t>MA1344</t>
  </si>
  <si>
    <t>2011-02-18</t>
  </si>
  <si>
    <t>MA1345</t>
  </si>
  <si>
    <t>2020-09-20</t>
  </si>
  <si>
    <t>MA1346</t>
  </si>
  <si>
    <t>2023-05-28</t>
  </si>
  <si>
    <t>MA1347</t>
  </si>
  <si>
    <t>MA1348</t>
  </si>
  <si>
    <t>2014-05-18</t>
  </si>
  <si>
    <t>MA1349</t>
  </si>
  <si>
    <t>2016-07-19</t>
  </si>
  <si>
    <t>MA1350</t>
  </si>
  <si>
    <t>2017-03-10</t>
  </si>
  <si>
    <t>MA1351</t>
  </si>
  <si>
    <t>2022-08-06</t>
  </si>
  <si>
    <t>MA1352</t>
  </si>
  <si>
    <t>2017-06-19</t>
  </si>
  <si>
    <t>MA1353</t>
  </si>
  <si>
    <t>MA1354</t>
  </si>
  <si>
    <t>2014-07-02</t>
  </si>
  <si>
    <t>MA1355</t>
  </si>
  <si>
    <t>2020-10-31</t>
  </si>
  <si>
    <t>MA1356</t>
  </si>
  <si>
    <t>2014-08-28</t>
  </si>
  <si>
    <t>MA1357</t>
  </si>
  <si>
    <t>2023-12-25</t>
  </si>
  <si>
    <t>MA1358</t>
  </si>
  <si>
    <t>2015-12-28</t>
  </si>
  <si>
    <t>MA1359</t>
  </si>
  <si>
    <t>2019-03-29</t>
  </si>
  <si>
    <t>MA1360</t>
  </si>
  <si>
    <t>2018-07-04</t>
  </si>
  <si>
    <t>MA1361</t>
  </si>
  <si>
    <t>2017-06-23</t>
  </si>
  <si>
    <t>MA1362</t>
  </si>
  <si>
    <t>2015-02-14</t>
  </si>
  <si>
    <t>MA1363</t>
  </si>
  <si>
    <t>2016-04-01</t>
  </si>
  <si>
    <t>MA1364</t>
  </si>
  <si>
    <t>2016-09-06</t>
  </si>
  <si>
    <t>MA1365</t>
  </si>
  <si>
    <t>2023-01-26</t>
  </si>
  <si>
    <t>MA1366</t>
  </si>
  <si>
    <t>2020-11-15</t>
  </si>
  <si>
    <t>MA1367</t>
  </si>
  <si>
    <t>2018-01-18</t>
  </si>
  <si>
    <t>MA1368</t>
  </si>
  <si>
    <t>2014-11-23</t>
  </si>
  <si>
    <t>MA1369</t>
  </si>
  <si>
    <t>2023-08-21</t>
  </si>
  <si>
    <t>MA1370</t>
  </si>
  <si>
    <t>2021-05-02</t>
  </si>
  <si>
    <t>MA1371</t>
  </si>
  <si>
    <t>MA1372</t>
  </si>
  <si>
    <t>2016-09-15</t>
  </si>
  <si>
    <t>MA1373</t>
  </si>
  <si>
    <t>2014-10-31</t>
  </si>
  <si>
    <t>MA1374</t>
  </si>
  <si>
    <t>2016-09-09</t>
  </si>
  <si>
    <t>MA1375</t>
  </si>
  <si>
    <t>2020-09-30</t>
  </si>
  <si>
    <t>MA1376</t>
  </si>
  <si>
    <t>2019-01-19</t>
  </si>
  <si>
    <t>MA1377</t>
  </si>
  <si>
    <t>2013-11-27</t>
  </si>
  <si>
    <t>MA1378</t>
  </si>
  <si>
    <t>2014-12-09</t>
  </si>
  <si>
    <t>MA1379</t>
  </si>
  <si>
    <t>2012-08-02</t>
  </si>
  <si>
    <t>MA1380</t>
  </si>
  <si>
    <t>2021-01-06</t>
  </si>
  <si>
    <t>MA1381</t>
  </si>
  <si>
    <t>2021-10-22</t>
  </si>
  <si>
    <t>MA1382</t>
  </si>
  <si>
    <t>2016-08-24</t>
  </si>
  <si>
    <t>MA1383</t>
  </si>
  <si>
    <t>2023-06-13</t>
  </si>
  <si>
    <t>MA1384</t>
  </si>
  <si>
    <t>2013-02-17</t>
  </si>
  <si>
    <t>MA1385</t>
  </si>
  <si>
    <t>2023-04-05</t>
  </si>
  <si>
    <t>MA1386</t>
  </si>
  <si>
    <t>MA1387</t>
  </si>
  <si>
    <t>2023-09-06</t>
  </si>
  <si>
    <t>MA1388</t>
  </si>
  <si>
    <t>2019-11-12</t>
  </si>
  <si>
    <t>MA1389</t>
  </si>
  <si>
    <t>2019-04-21</t>
  </si>
  <si>
    <t>MA1390</t>
  </si>
  <si>
    <t>2011-02-21</t>
  </si>
  <si>
    <t>MA1391</t>
  </si>
  <si>
    <t>2021-06-18</t>
  </si>
  <si>
    <t>MA1392</t>
  </si>
  <si>
    <t>2012-04-12</t>
  </si>
  <si>
    <t>MA1393</t>
  </si>
  <si>
    <t>2011-12-27</t>
  </si>
  <si>
    <t>MA1394</t>
  </si>
  <si>
    <t>2024-03-29</t>
  </si>
  <si>
    <t>MA1395</t>
  </si>
  <si>
    <t>2014-02-02</t>
  </si>
  <si>
    <t>MA1396</t>
  </si>
  <si>
    <t>2015-01-23</t>
  </si>
  <si>
    <t>MA1397</t>
  </si>
  <si>
    <t>2021-09-13</t>
  </si>
  <si>
    <t>MA1398</t>
  </si>
  <si>
    <t>2015-12-24</t>
  </si>
  <si>
    <t>MA1399</t>
  </si>
  <si>
    <t>2022-03-05</t>
  </si>
  <si>
    <t>MA1400</t>
  </si>
  <si>
    <t>Customer Service</t>
  </si>
  <si>
    <t>2016-04-22</t>
  </si>
  <si>
    <t>MA1401</t>
  </si>
  <si>
    <t>2021-05-04</t>
  </si>
  <si>
    <t>MA1402</t>
  </si>
  <si>
    <t>2017-11-28</t>
  </si>
  <si>
    <t>MA1403</t>
  </si>
  <si>
    <t>2014-06-14</t>
  </si>
  <si>
    <t>MA1404</t>
  </si>
  <si>
    <t>2024-05-27</t>
  </si>
  <si>
    <t>MA1405</t>
  </si>
  <si>
    <t>MA1406</t>
  </si>
  <si>
    <t>2017-01-03</t>
  </si>
  <si>
    <t>MA1407</t>
  </si>
  <si>
    <t>2011-07-10</t>
  </si>
  <si>
    <t>MA1408</t>
  </si>
  <si>
    <t>2014-05-14</t>
  </si>
  <si>
    <t>MA1409</t>
  </si>
  <si>
    <t>2021-12-01</t>
  </si>
  <si>
    <t>MA1410</t>
  </si>
  <si>
    <t>2015-11-17</t>
  </si>
  <si>
    <t>MA1411</t>
  </si>
  <si>
    <t>2012-02-18</t>
  </si>
  <si>
    <t>MA1412</t>
  </si>
  <si>
    <t>2018-06-13</t>
  </si>
  <si>
    <t>MA1413</t>
  </si>
  <si>
    <t>2012-08-03</t>
  </si>
  <si>
    <t>MA1414</t>
  </si>
  <si>
    <t>2011-03-21</t>
  </si>
  <si>
    <t>MA1415</t>
  </si>
  <si>
    <t>2016-02-02</t>
  </si>
  <si>
    <t>MA1416</t>
  </si>
  <si>
    <t>2012-05-30</t>
  </si>
  <si>
    <t>MA1417</t>
  </si>
  <si>
    <t>2020-06-16</t>
  </si>
  <si>
    <t>MA1418</t>
  </si>
  <si>
    <t>MA1419</t>
  </si>
  <si>
    <t>2014-04-19</t>
  </si>
  <si>
    <t>MA1420</t>
  </si>
  <si>
    <t>2021-10-14</t>
  </si>
  <si>
    <t>MA1421</t>
  </si>
  <si>
    <t>2021-04-11</t>
  </si>
  <si>
    <t>MA1422</t>
  </si>
  <si>
    <t>2018-03-18</t>
  </si>
  <si>
    <t>MA1423</t>
  </si>
  <si>
    <t>2013-06-28</t>
  </si>
  <si>
    <t>MA1424</t>
  </si>
  <si>
    <t>2018-03-14</t>
  </si>
  <si>
    <t>MA1425</t>
  </si>
  <si>
    <t>2022-06-19</t>
  </si>
  <si>
    <t>MA1426</t>
  </si>
  <si>
    <t>2024-04-28</t>
  </si>
  <si>
    <t>MA1427</t>
  </si>
  <si>
    <t>2011-12-13</t>
  </si>
  <si>
    <t>MA1428</t>
  </si>
  <si>
    <t>2011-11-01</t>
  </si>
  <si>
    <t>MA1429</t>
  </si>
  <si>
    <t>MA1430</t>
  </si>
  <si>
    <t>2019-06-28</t>
  </si>
  <si>
    <t>MA1431</t>
  </si>
  <si>
    <t>MA1432</t>
  </si>
  <si>
    <t>2013-09-01</t>
  </si>
  <si>
    <t>MA1433</t>
  </si>
  <si>
    <t>2023-07-11</t>
  </si>
  <si>
    <t>MA1434</t>
  </si>
  <si>
    <t>2014-03-12</t>
  </si>
  <si>
    <t>MA1435</t>
  </si>
  <si>
    <t>2017-03-30</t>
  </si>
  <si>
    <t>MA1436</t>
  </si>
  <si>
    <t>2018-12-29</t>
  </si>
  <si>
    <t>MA1437</t>
  </si>
  <si>
    <t>2012-05-28</t>
  </si>
  <si>
    <t>MA1438</t>
  </si>
  <si>
    <t>2018-06-10</t>
  </si>
  <si>
    <t>MA1439</t>
  </si>
  <si>
    <t>2018-10-15</t>
  </si>
  <si>
    <t>MA1440</t>
  </si>
  <si>
    <t>2016-01-27</t>
  </si>
  <si>
    <t>MA1441</t>
  </si>
  <si>
    <t>2023-02-24</t>
  </si>
  <si>
    <t>MA1442</t>
  </si>
  <si>
    <t>MA1443</t>
  </si>
  <si>
    <t>MA1444</t>
  </si>
  <si>
    <t>2019-06-26</t>
  </si>
  <si>
    <t>MA1445</t>
  </si>
  <si>
    <t>2022-09-04</t>
  </si>
  <si>
    <t>MA1446</t>
  </si>
  <si>
    <t>2024-10-21</t>
  </si>
  <si>
    <t>MA1447</t>
  </si>
  <si>
    <t>2014-04-03</t>
  </si>
  <si>
    <t>MA1448</t>
  </si>
  <si>
    <t>2018-07-09</t>
  </si>
  <si>
    <t>MA1449</t>
  </si>
  <si>
    <t>2024-02-01</t>
  </si>
  <si>
    <t>MA1450</t>
  </si>
  <si>
    <t>2016-01-07</t>
  </si>
  <si>
    <t>MA1451</t>
  </si>
  <si>
    <t>2018-06-06</t>
  </si>
  <si>
    <t>MA1452</t>
  </si>
  <si>
    <t>2017-05-29</t>
  </si>
  <si>
    <t>MA1453</t>
  </si>
  <si>
    <t>2013-11-04</t>
  </si>
  <si>
    <t>MA1454</t>
  </si>
  <si>
    <t>MA1455</t>
  </si>
  <si>
    <t>2018-04-22</t>
  </si>
  <si>
    <t>MA1456</t>
  </si>
  <si>
    <t>2015-10-30</t>
  </si>
  <si>
    <t>MA1457</t>
  </si>
  <si>
    <t>2022-10-13</t>
  </si>
  <si>
    <t>MA1458</t>
  </si>
  <si>
    <t>2024-10-08</t>
  </si>
  <si>
    <t>MA1459</t>
  </si>
  <si>
    <t>2017-07-12</t>
  </si>
  <si>
    <t>MA1460</t>
  </si>
  <si>
    <t>Administration</t>
  </si>
  <si>
    <t>2019-08-16</t>
  </si>
  <si>
    <t>MA1461</t>
  </si>
  <si>
    <t>2018-01-15</t>
  </si>
  <si>
    <t>MA1462</t>
  </si>
  <si>
    <t>2017-12-12</t>
  </si>
  <si>
    <t>MA1463</t>
  </si>
  <si>
    <t>MA1464</t>
  </si>
  <si>
    <t>2021-12-04</t>
  </si>
  <si>
    <t>MA1465</t>
  </si>
  <si>
    <t>2011-05-03</t>
  </si>
  <si>
    <t>MA1466</t>
  </si>
  <si>
    <t>2014-05-12</t>
  </si>
  <si>
    <t>MA1467</t>
  </si>
  <si>
    <t>2020-01-09</t>
  </si>
  <si>
    <t>MA1468</t>
  </si>
  <si>
    <t>2011-07-24</t>
  </si>
  <si>
    <t>MA1469</t>
  </si>
  <si>
    <t>2016-10-22</t>
  </si>
  <si>
    <t>MA1470</t>
  </si>
  <si>
    <t>2023-07-16</t>
  </si>
  <si>
    <t>MA1471</t>
  </si>
  <si>
    <t>2020-05-21</t>
  </si>
  <si>
    <t>MA1472</t>
  </si>
  <si>
    <t>2017-07-25</t>
  </si>
  <si>
    <t>MA1473</t>
  </si>
  <si>
    <t>2020-04-25</t>
  </si>
  <si>
    <t>MA1474</t>
  </si>
  <si>
    <t>2013-06-23</t>
  </si>
  <si>
    <t>MA1475</t>
  </si>
  <si>
    <t>MA1476</t>
  </si>
  <si>
    <t>2018-01-04</t>
  </si>
  <si>
    <t>MA1477</t>
  </si>
  <si>
    <t>2024-11-08</t>
  </si>
  <si>
    <t>MA1478</t>
  </si>
  <si>
    <t>2023-11-27</t>
  </si>
  <si>
    <t>MA1479</t>
  </si>
  <si>
    <t>2012-10-13</t>
  </si>
  <si>
    <t>MA1480</t>
  </si>
  <si>
    <t>2023-05-17</t>
  </si>
  <si>
    <t>MA1481</t>
  </si>
  <si>
    <t>2021-11-19</t>
  </si>
  <si>
    <t>MA1482</t>
  </si>
  <si>
    <t>2016-06-15</t>
  </si>
  <si>
    <t>MA1483</t>
  </si>
  <si>
    <t>2012-10-29</t>
  </si>
  <si>
    <t>MA1484</t>
  </si>
  <si>
    <t>2016-02-09</t>
  </si>
  <si>
    <t>MA1485</t>
  </si>
  <si>
    <t>2024-11-04</t>
  </si>
  <si>
    <t>MA1486</t>
  </si>
  <si>
    <t>2015-05-30</t>
  </si>
  <si>
    <t>MA1487</t>
  </si>
  <si>
    <t>2017-02-27</t>
  </si>
  <si>
    <t>MA1488</t>
  </si>
  <si>
    <t>2022-05-23</t>
  </si>
  <si>
    <t>MA1489</t>
  </si>
  <si>
    <t>2024-07-27</t>
  </si>
  <si>
    <t>MA1490</t>
  </si>
  <si>
    <t>2014-11-28</t>
  </si>
  <si>
    <t>MA1491</t>
  </si>
  <si>
    <t>2012-10-25</t>
  </si>
  <si>
    <t>MA1492</t>
  </si>
  <si>
    <t>2019-09-02</t>
  </si>
  <si>
    <t>MA1493</t>
  </si>
  <si>
    <t>2017-09-24</t>
  </si>
  <si>
    <t>MA1494</t>
  </si>
  <si>
    <t>2013-03-25</t>
  </si>
  <si>
    <t>MA1495</t>
  </si>
  <si>
    <t>2020-12-29</t>
  </si>
  <si>
    <t>MA1496</t>
  </si>
  <si>
    <t>2016-05-16</t>
  </si>
  <si>
    <t>MA1497</t>
  </si>
  <si>
    <t>2018-03-13</t>
  </si>
  <si>
    <t>MA1498</t>
  </si>
  <si>
    <t>2019-11-13</t>
  </si>
  <si>
    <t>MA1499</t>
  </si>
  <si>
    <t>2012-04-22</t>
  </si>
  <si>
    <t>EUPTD COMPLIANCE DASHBOARD</t>
  </si>
  <si>
    <t>Stichtag: 02.12.2025</t>
  </si>
  <si>
    <t>📊 UNTERNEHMENSDATEN</t>
  </si>
  <si>
    <t>Gesamtanzahl Mitarbeiter</t>
  </si>
  <si>
    <t>davon Frauen</t>
  </si>
  <si>
    <t>davon Männer</t>
  </si>
  <si>
    <t>Anzahl Arbeitnehmergruppen</t>
  </si>
  <si>
    <t>💰 GEHALTSSTATISTIKEN (Gesamt)</t>
  </si>
  <si>
    <t>Kennzahl</t>
  </si>
  <si>
    <t>Frauen</t>
  </si>
  <si>
    <t>Männer</t>
  </si>
  <si>
    <t>Differenz</t>
  </si>
  <si>
    <t>GPG (%)</t>
  </si>
  <si>
    <t>Ø Bruttojahresentgelt</t>
  </si>
  <si>
    <t>Median Bruttojahresentgelt</t>
  </si>
  <si>
    <t>⚖️ COMPLIANCE STATUS</t>
  </si>
  <si>
    <t>Berichtspflichtig (≥250 MA)</t>
  </si>
  <si>
    <t>Nächste Berichterstattung</t>
  </si>
  <si>
    <t>2027-06-07</t>
  </si>
  <si>
    <t>Gruppen mit GPG ≥5%</t>
  </si>
  <si>
    <t>Siehe Sheet "Berechnungen"</t>
  </si>
  <si>
    <t>GPG-BERECHNUNGEN NACH ARBEITNEHMERGRUPPEN</t>
  </si>
  <si>
    <t>Artikel 9 (Jährliche Berichterstattung) und Artikel 10 (Gemeinsame Entgeltbewertung)</t>
  </si>
  <si>
    <t>Anzahl MA</t>
  </si>
  <si>
    <t>Ø Frauen (€)</t>
  </si>
  <si>
    <t>Ø Männer (€)</t>
  </si>
  <si>
    <t>Status</t>
  </si>
  <si>
    <t>Median F (€)</t>
  </si>
  <si>
    <t>Median M (€)</t>
  </si>
  <si>
    <t>Median GPG (%)</t>
  </si>
  <si>
    <t>ZUSAMMENFASSUNG</t>
  </si>
  <si>
    <t>Gruppen mit GPG ≥5%:</t>
  </si>
  <si>
    <t>→ Gemeinsame Entgeltbewertung erforderlich (Art. 10)</t>
  </si>
  <si>
    <t>DOKUMENTATION - SYNTHETISCHE EUPTD-TESTDATEN</t>
  </si>
  <si>
    <t>📋 ZWECK</t>
  </si>
  <si>
    <t>Diese Excel-Datei enthält synthetische Testdaten für die Entwicklung eines n8n KI-Agenten zur EUPTD-Compliance.</t>
  </si>
  <si>
    <t>👥 DATENBESCHREIBUNG</t>
  </si>
  <si>
    <t>Gesamtanzahl Mitarbeiter:</t>
  </si>
  <si>
    <t>500 (250 Frauen, 250 Männer)</t>
  </si>
  <si>
    <t>Arbeitnehmergruppen:</t>
  </si>
  <si>
    <t>8 (nach EUPTD Art. 3 Abs. 1h)</t>
  </si>
  <si>
    <t>Generierungsdatum:</t>
  </si>
  <si>
    <t>02.12.2025</t>
  </si>
  <si>
    <t>🎯 TESTSZENARIEN</t>
  </si>
  <si>
    <t>Die Daten enthalten drei GPG-Szenarien:</t>
  </si>
  <si>
    <t>• ✅ Unkritisch: GPG &lt; 3% (z.B. Senior Leadership, Operations)</t>
  </si>
  <si>
    <t>• ⚠️ Schwellenwert: GPG 5-7% (z.B. Sales &amp; Marketing)</t>
  </si>
  <si>
    <t>• 🚨 Kritisch: GPG &gt; 10% (z.B. Administration, Product Management)</t>
  </si>
  <si>
    <t>📊 DATENSTRUKTUR</t>
  </si>
  <si>
    <t>Sheet "Mitarbeiterdaten":</t>
  </si>
  <si>
    <t>Rohdaten (500 Zeilen)</t>
  </si>
  <si>
    <t>Sheet "Übersicht":</t>
  </si>
  <si>
    <t>Key Metrics &amp; Compliance Status</t>
  </si>
  <si>
    <t>Sheet "Berechnungen":</t>
  </si>
  <si>
    <t>GPG-Berechnungen nach Gruppen</t>
  </si>
  <si>
    <t>🔧 VERWENDUNG MIT n8n</t>
  </si>
  <si>
    <t>1. Lade diese Excel-Datei in deinen n8n Workflow</t>
  </si>
  <si>
    <t>2. Verwende "Spreadsheet File" Node zum Einlesen</t>
  </si>
  <si>
    <t>3. Extrahiere Sheet "Mitarbeiterdaten"</t>
  </si>
  <si>
    <t>4. Implementiere GPG-Berechnungen in Code Node</t>
  </si>
  <si>
    <t>5. Vergleiche deine Ergebnisse mit Sheet "Berechnungen"</t>
  </si>
  <si>
    <t>⚖️ RECHTLICHE HINWEISE</t>
  </si>
  <si>
    <t>• Diese Daten sind synthetisch und enthalten keine echten Personendaten</t>
  </si>
  <si>
    <t>• Verwendung: Nur für Entwicklungs- und Testzwecke</t>
  </si>
  <si>
    <t>• DSGVO-konform: Keine personenbezogenen Daten</t>
  </si>
  <si>
    <t>📝 ANNAHMEN</t>
  </si>
  <si>
    <t>• Alle Mitarbeiter sind in Deutschland beschäftigt</t>
  </si>
  <si>
    <t>• Gehälter in EUR (Bruttojahresentgelt)</t>
  </si>
  <si>
    <t>• Vollzeitäquivalent: 40 Wochenstunden</t>
  </si>
  <si>
    <t>• Variable Bestandteile: Boni, Prämien (nicht bei allen MA)</t>
  </si>
  <si>
    <t>🔗 KONTAKT</t>
  </si>
  <si>
    <t>Bei Fragen zum n8n Agent oder EUPTD-Compliance:</t>
  </si>
  <si>
    <t>Erstellt von: Dom (Business Consultant)</t>
  </si>
  <si>
    <t>Datum: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</si>
</sst>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&quot; €&quot;"/>
    <numFmt numFmtId="166" formatCode="dd\.mm\.yyyy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i/>
      <sz val="10"/>
      <name val="Calibri"/>
    </font>
    <font>
      <b/>
      <sz val="12"/>
      <color rgb="FFFFFFFF"/>
      <name val="Calibri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C00000"/>
      <name val="Calibri"/>
    </font>
    <font>
      <i/>
      <sz val="11"/>
      <name val="Calibri"/>
    </font>
    <font>
      <b/>
      <sz val="14"/>
      <color rgb="FF1F4E78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C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6F0FF"/>
        <bgColor rgb="FFE6F0FF"/>
      </patternFill>
    </fill>
    <fill>
      <patternFill patternType="solid">
        <fgColor rgb="FFFFE6F0"/>
        <bgColor rgb="FFFFE6F0"/>
      </patternFill>
    </fill>
    <fill>
      <patternFill patternType="solid">
        <fgColor rgb="FF70AD47"/>
        <bgColor rgb="FF70AD47"/>
      </patternFill>
    </fill>
    <fill>
      <patternFill patternType="solid">
        <fgColor rgb="FFE7E6E6"/>
        <bgColor rgb="FFE7E6E6"/>
      </patternFill>
    </fill>
    <fill>
      <patternFill patternType="solid">
        <fgColor rgb="FFFFEB9C"/>
        <bgColor rgb="FFFFEB9C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4" fontId="0" fillId="0" borderId="0" xfId="0" applyNumberFormat="1"/>
    <xf numFmtId="2" fontId="0" fillId="0" borderId="0" xfId="0" applyNumberFormat="1"/>
    <xf numFmtId="0" fontId="0" fillId="4" borderId="0" xfId="0" applyFill="1"/>
    <xf numFmtId="3" fontId="5" fillId="0" borderId="0" xfId="0" applyNumberFormat="1" applyFont="1"/>
    <xf numFmtId="164" fontId="0" fillId="0" borderId="0" xfId="0" applyNumberFormat="1"/>
    <xf numFmtId="3" fontId="0" fillId="0" borderId="0" xfId="0" applyNumberFormat="1"/>
    <xf numFmtId="0" fontId="6" fillId="6" borderId="0" xfId="0" applyFont="1" applyFill="1"/>
    <xf numFmtId="165" fontId="0" fillId="0" borderId="0" xfId="0" applyNumberFormat="1"/>
    <xf numFmtId="164" fontId="7" fillId="7" borderId="0" xfId="0" applyNumberFormat="1" applyFont="1" applyFill="1"/>
    <xf numFmtId="0" fontId="8" fillId="0" borderId="0" xfId="0" applyFont="1"/>
    <xf numFmtId="166" fontId="0" fillId="0" borderId="0" xfId="0" applyNumberFormat="1"/>
    <xf numFmtId="0" fontId="9" fillId="0" borderId="0" xfId="0" applyFont="1"/>
    <xf numFmtId="0" fontId="12" fillId="2" borderId="0" xfId="0" applyFont="1" applyFill="1" applyAlignment="1">
      <alignment horizontal="center" wrapText="1"/>
    </xf>
    <xf numFmtId="164" fontId="6" fillId="0" borderId="0" xfId="0" applyNumberFormat="1" applyFont="1"/>
    <xf numFmtId="0" fontId="13" fillId="0" borderId="0" xfId="0" applyFont="1"/>
    <xf numFmtId="3" fontId="8" fillId="0" borderId="0" xfId="0" applyNumberFormat="1" applyFont="1"/>
    <xf numFmtId="0" fontId="14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5" borderId="0" xfId="0" applyFont="1" applyFill="1"/>
    <xf numFmtId="0" fontId="2" fillId="0" borderId="0" xfId="0" applyFont="1" applyAlignment="1">
      <alignment horizontal="center"/>
    </xf>
    <xf numFmtId="0" fontId="4" fillId="2" borderId="0" xfId="0" applyFont="1" applyFill="1"/>
    <xf numFmtId="0" fontId="4" fillId="8" borderId="0" xfId="0" applyFont="1" applyFill="1"/>
    <xf numFmtId="0" fontId="11" fillId="0" borderId="0" xfId="0" applyFont="1"/>
    <xf numFmtId="0" fontId="10" fillId="0" borderId="0" xfId="0" applyFont="1" applyAlignment="1">
      <alignment horizontal="center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pane ySplit="1" topLeftCell="A65" activePane="bottomLeft" state="frozen"/>
      <selection pane="bottomLeft" activeCell="C66" sqref="C66"/>
    </sheetView>
  </sheetViews>
  <sheetFormatPr baseColWidth="10" defaultColWidth="9.06640625" defaultRowHeight="14.25" x14ac:dyDescent="0.45"/>
  <cols>
    <col min="1" max="1" width="19" customWidth="1"/>
    <col min="2" max="2" width="15" customWidth="1"/>
    <col min="3" max="3" width="23" customWidth="1"/>
    <col min="4" max="4" width="19" customWidth="1"/>
    <col min="5" max="5" width="24" customWidth="1"/>
    <col min="6" max="6" width="20" customWidth="1"/>
    <col min="7" max="7" width="30" customWidth="1"/>
    <col min="8" max="8" width="28" customWidth="1"/>
    <col min="9" max="9" width="18" customWidth="1"/>
    <col min="10" max="10" width="24" customWidth="1"/>
    <col min="11" max="11" width="26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s="2" t="s">
        <v>12</v>
      </c>
      <c r="C2" t="s">
        <v>13</v>
      </c>
      <c r="D2" t="s">
        <v>14</v>
      </c>
      <c r="E2">
        <v>6</v>
      </c>
      <c r="F2" s="3">
        <v>156274.21</v>
      </c>
      <c r="G2" s="3">
        <v>14260.71</v>
      </c>
      <c r="H2" s="3">
        <v>170534.92</v>
      </c>
      <c r="I2">
        <v>40</v>
      </c>
      <c r="J2" s="4">
        <v>1</v>
      </c>
      <c r="K2" s="3">
        <v>81.987942307692293</v>
      </c>
    </row>
    <row r="3" spans="1:11" x14ac:dyDescent="0.45">
      <c r="A3" t="s">
        <v>15</v>
      </c>
      <c r="B3" s="2" t="s">
        <v>12</v>
      </c>
      <c r="C3" t="s">
        <v>13</v>
      </c>
      <c r="D3" t="s">
        <v>16</v>
      </c>
      <c r="E3">
        <v>13</v>
      </c>
      <c r="F3" s="3">
        <v>133779.21</v>
      </c>
      <c r="G3" s="3">
        <v>21551.85</v>
      </c>
      <c r="H3" s="3">
        <v>155331.06</v>
      </c>
      <c r="I3">
        <v>40</v>
      </c>
      <c r="J3" s="4">
        <v>1</v>
      </c>
      <c r="K3" s="3">
        <v>74.678394230769229</v>
      </c>
    </row>
    <row r="4" spans="1:11" x14ac:dyDescent="0.45">
      <c r="A4" t="s">
        <v>17</v>
      </c>
      <c r="B4" s="2" t="s">
        <v>12</v>
      </c>
      <c r="C4" t="s">
        <v>13</v>
      </c>
      <c r="D4" t="s">
        <v>18</v>
      </c>
      <c r="E4">
        <v>5</v>
      </c>
      <c r="F4" s="3">
        <v>131412.25</v>
      </c>
      <c r="G4" s="3">
        <v>7157.97</v>
      </c>
      <c r="H4" s="3">
        <v>138570.22</v>
      </c>
      <c r="I4">
        <v>40</v>
      </c>
      <c r="J4" s="4">
        <v>1</v>
      </c>
      <c r="K4" s="3">
        <v>66.620298076923078</v>
      </c>
    </row>
    <row r="5" spans="1:11" x14ac:dyDescent="0.45">
      <c r="A5" t="s">
        <v>19</v>
      </c>
      <c r="B5" s="2" t="s">
        <v>12</v>
      </c>
      <c r="C5" t="s">
        <v>13</v>
      </c>
      <c r="D5" t="s">
        <v>20</v>
      </c>
      <c r="E5">
        <v>13</v>
      </c>
      <c r="F5" s="3">
        <v>137969.74</v>
      </c>
      <c r="G5" s="3">
        <v>18513.71</v>
      </c>
      <c r="H5" s="3">
        <v>156483.45000000001</v>
      </c>
      <c r="I5">
        <v>40</v>
      </c>
      <c r="J5" s="4">
        <v>1</v>
      </c>
      <c r="K5" s="3">
        <v>75.232427884615376</v>
      </c>
    </row>
    <row r="6" spans="1:11" x14ac:dyDescent="0.45">
      <c r="A6" t="s">
        <v>21</v>
      </c>
      <c r="B6" s="2" t="s">
        <v>12</v>
      </c>
      <c r="C6" t="s">
        <v>13</v>
      </c>
      <c r="D6" t="s">
        <v>22</v>
      </c>
      <c r="E6">
        <v>1</v>
      </c>
      <c r="F6" s="3">
        <v>146378.39000000001</v>
      </c>
      <c r="G6" s="3">
        <v>13427.09</v>
      </c>
      <c r="H6" s="3">
        <v>159805.48000000001</v>
      </c>
      <c r="I6">
        <v>40</v>
      </c>
      <c r="J6" s="4">
        <v>1</v>
      </c>
      <c r="K6" s="3">
        <v>76.829557692307702</v>
      </c>
    </row>
    <row r="7" spans="1:11" x14ac:dyDescent="0.45">
      <c r="A7" t="s">
        <v>23</v>
      </c>
      <c r="B7" s="2" t="s">
        <v>12</v>
      </c>
      <c r="C7" t="s">
        <v>13</v>
      </c>
      <c r="D7" t="s">
        <v>24</v>
      </c>
      <c r="E7">
        <v>7</v>
      </c>
      <c r="F7" s="3">
        <v>161646.32999999999</v>
      </c>
      <c r="G7" s="3">
        <v>18329.43</v>
      </c>
      <c r="H7" s="3">
        <v>179975.76</v>
      </c>
      <c r="I7">
        <v>40</v>
      </c>
      <c r="J7" s="4">
        <v>1</v>
      </c>
      <c r="K7" s="3">
        <v>86.526807692307685</v>
      </c>
    </row>
    <row r="8" spans="1:11" x14ac:dyDescent="0.45">
      <c r="A8" t="s">
        <v>25</v>
      </c>
      <c r="B8" s="2" t="s">
        <v>12</v>
      </c>
      <c r="C8" t="s">
        <v>13</v>
      </c>
      <c r="D8" t="s">
        <v>26</v>
      </c>
      <c r="E8">
        <v>8</v>
      </c>
      <c r="F8" s="3">
        <v>134496.57999999999</v>
      </c>
      <c r="G8" s="3">
        <v>0</v>
      </c>
      <c r="H8" s="3">
        <v>134496.57999999999</v>
      </c>
      <c r="I8">
        <v>40</v>
      </c>
      <c r="J8" s="4">
        <v>1</v>
      </c>
      <c r="K8" s="3">
        <v>64.661817307692303</v>
      </c>
    </row>
    <row r="9" spans="1:11" x14ac:dyDescent="0.45">
      <c r="A9" t="s">
        <v>27</v>
      </c>
      <c r="B9" s="2" t="s">
        <v>12</v>
      </c>
      <c r="C9" t="s">
        <v>13</v>
      </c>
      <c r="D9" t="s">
        <v>28</v>
      </c>
      <c r="E9">
        <v>8</v>
      </c>
      <c r="F9" s="3">
        <v>132099.46</v>
      </c>
      <c r="G9" s="3">
        <v>13718.12</v>
      </c>
      <c r="H9" s="3">
        <v>145817.57999999999</v>
      </c>
      <c r="I9">
        <v>40</v>
      </c>
      <c r="J9" s="4">
        <v>1</v>
      </c>
      <c r="K9" s="3">
        <v>70.104605769230758</v>
      </c>
    </row>
    <row r="10" spans="1:11" x14ac:dyDescent="0.45">
      <c r="A10" t="s">
        <v>29</v>
      </c>
      <c r="B10" s="2" t="s">
        <v>12</v>
      </c>
      <c r="C10" t="s">
        <v>13</v>
      </c>
      <c r="D10" t="s">
        <v>30</v>
      </c>
      <c r="E10">
        <v>13</v>
      </c>
      <c r="F10" s="3">
        <v>154667.67000000001</v>
      </c>
      <c r="G10" s="3">
        <v>24663.27</v>
      </c>
      <c r="H10" s="3">
        <v>179330.94</v>
      </c>
      <c r="I10">
        <v>40</v>
      </c>
      <c r="J10" s="4">
        <v>1</v>
      </c>
      <c r="K10" s="3">
        <v>86.216798076923084</v>
      </c>
    </row>
    <row r="11" spans="1:11" x14ac:dyDescent="0.45">
      <c r="A11" t="s">
        <v>31</v>
      </c>
      <c r="B11" s="2" t="s">
        <v>12</v>
      </c>
      <c r="C11" t="s">
        <v>13</v>
      </c>
      <c r="D11" t="s">
        <v>32</v>
      </c>
      <c r="E11">
        <v>2</v>
      </c>
      <c r="F11" s="3">
        <v>133117.18</v>
      </c>
      <c r="G11" s="3">
        <v>0</v>
      </c>
      <c r="H11" s="3">
        <v>133117.18</v>
      </c>
      <c r="I11">
        <v>40</v>
      </c>
      <c r="J11" s="4">
        <v>1</v>
      </c>
      <c r="K11" s="3">
        <v>63.99864423076923</v>
      </c>
    </row>
    <row r="12" spans="1:11" x14ac:dyDescent="0.45">
      <c r="A12" t="s">
        <v>33</v>
      </c>
      <c r="B12" s="5" t="s">
        <v>34</v>
      </c>
      <c r="C12" t="s">
        <v>13</v>
      </c>
      <c r="D12" t="s">
        <v>35</v>
      </c>
      <c r="E12">
        <v>9</v>
      </c>
      <c r="F12" s="3">
        <v>140154.48000000001</v>
      </c>
      <c r="G12" s="3">
        <v>20010.97</v>
      </c>
      <c r="H12" s="3">
        <v>160165.45000000001</v>
      </c>
      <c r="I12">
        <v>20</v>
      </c>
      <c r="J12" s="4">
        <v>1</v>
      </c>
      <c r="K12" s="3">
        <v>154.0052403846154</v>
      </c>
    </row>
    <row r="13" spans="1:11" x14ac:dyDescent="0.45">
      <c r="A13" t="s">
        <v>36</v>
      </c>
      <c r="B13" s="5" t="s">
        <v>34</v>
      </c>
      <c r="C13" t="s">
        <v>13</v>
      </c>
      <c r="D13" t="s">
        <v>37</v>
      </c>
      <c r="E13">
        <v>7</v>
      </c>
      <c r="F13" s="3">
        <v>146469.26999999999</v>
      </c>
      <c r="G13" s="3">
        <v>12330.48</v>
      </c>
      <c r="H13" s="3">
        <v>158799.75</v>
      </c>
      <c r="I13">
        <v>40</v>
      </c>
      <c r="J13" s="4">
        <v>1</v>
      </c>
      <c r="K13" s="3">
        <v>76.346033653846149</v>
      </c>
    </row>
    <row r="14" spans="1:11" x14ac:dyDescent="0.45">
      <c r="A14" t="s">
        <v>38</v>
      </c>
      <c r="B14" s="5" t="s">
        <v>34</v>
      </c>
      <c r="C14" t="s">
        <v>13</v>
      </c>
      <c r="D14" t="s">
        <v>39</v>
      </c>
      <c r="E14">
        <v>9</v>
      </c>
      <c r="F14" s="3">
        <v>153172.42000000001</v>
      </c>
      <c r="G14" s="3">
        <v>18076.11</v>
      </c>
      <c r="H14" s="3">
        <v>171248.53</v>
      </c>
      <c r="I14">
        <v>40</v>
      </c>
      <c r="J14" s="4">
        <v>1</v>
      </c>
      <c r="K14" s="3">
        <v>82.33102403846155</v>
      </c>
    </row>
    <row r="15" spans="1:11" x14ac:dyDescent="0.45">
      <c r="A15" t="s">
        <v>40</v>
      </c>
      <c r="B15" s="5" t="s">
        <v>34</v>
      </c>
      <c r="C15" t="s">
        <v>13</v>
      </c>
      <c r="D15" t="s">
        <v>41</v>
      </c>
      <c r="E15">
        <v>2</v>
      </c>
      <c r="F15" s="3">
        <v>132008.21</v>
      </c>
      <c r="G15" s="3">
        <v>20497.32</v>
      </c>
      <c r="H15" s="3">
        <v>152505.53</v>
      </c>
      <c r="I15">
        <v>20</v>
      </c>
      <c r="J15" s="4">
        <v>1</v>
      </c>
      <c r="K15" s="3">
        <v>146.6399326923077</v>
      </c>
    </row>
    <row r="16" spans="1:11" x14ac:dyDescent="0.45">
      <c r="A16" t="s">
        <v>42</v>
      </c>
      <c r="B16" s="5" t="s">
        <v>34</v>
      </c>
      <c r="C16" t="s">
        <v>13</v>
      </c>
      <c r="D16" t="s">
        <v>43</v>
      </c>
      <c r="E16">
        <v>7</v>
      </c>
      <c r="F16" s="3">
        <v>139413.39000000001</v>
      </c>
      <c r="G16" s="3">
        <v>16637.46</v>
      </c>
      <c r="H16" s="3">
        <v>156050.85</v>
      </c>
      <c r="I16">
        <v>20</v>
      </c>
      <c r="J16" s="4">
        <v>1</v>
      </c>
      <c r="K16" s="3">
        <v>150.04889423076921</v>
      </c>
    </row>
    <row r="17" spans="1:11" x14ac:dyDescent="0.45">
      <c r="A17" t="s">
        <v>44</v>
      </c>
      <c r="B17" s="5" t="s">
        <v>34</v>
      </c>
      <c r="C17" t="s">
        <v>13</v>
      </c>
      <c r="D17" t="s">
        <v>45</v>
      </c>
      <c r="E17">
        <v>6</v>
      </c>
      <c r="F17" s="3">
        <v>145643.03</v>
      </c>
      <c r="G17" s="3">
        <v>24235</v>
      </c>
      <c r="H17" s="3">
        <v>169878.03</v>
      </c>
      <c r="I17">
        <v>40</v>
      </c>
      <c r="J17" s="4">
        <v>1</v>
      </c>
      <c r="K17" s="3">
        <v>81.672129807692301</v>
      </c>
    </row>
    <row r="18" spans="1:11" x14ac:dyDescent="0.45">
      <c r="A18" t="s">
        <v>46</v>
      </c>
      <c r="B18" s="5" t="s">
        <v>34</v>
      </c>
      <c r="C18" t="s">
        <v>13</v>
      </c>
      <c r="D18" t="s">
        <v>47</v>
      </c>
      <c r="E18">
        <v>13</v>
      </c>
      <c r="F18" s="3">
        <v>133908.22</v>
      </c>
      <c r="G18" s="3">
        <v>25036.880000000001</v>
      </c>
      <c r="H18" s="3">
        <v>158945.1</v>
      </c>
      <c r="I18">
        <v>40</v>
      </c>
      <c r="J18" s="4">
        <v>1</v>
      </c>
      <c r="K18" s="3">
        <v>76.415913461538466</v>
      </c>
    </row>
    <row r="19" spans="1:11" x14ac:dyDescent="0.45">
      <c r="A19" t="s">
        <v>48</v>
      </c>
      <c r="B19" s="5" t="s">
        <v>34</v>
      </c>
      <c r="C19" t="s">
        <v>13</v>
      </c>
      <c r="D19" t="s">
        <v>49</v>
      </c>
      <c r="E19">
        <v>11</v>
      </c>
      <c r="F19" s="3">
        <v>144435.16</v>
      </c>
      <c r="G19" s="3">
        <v>27035.68</v>
      </c>
      <c r="H19" s="3">
        <v>171470.84</v>
      </c>
      <c r="I19">
        <v>40</v>
      </c>
      <c r="J19" s="4">
        <v>1</v>
      </c>
      <c r="K19" s="3">
        <v>82.437903846153844</v>
      </c>
    </row>
    <row r="20" spans="1:11" x14ac:dyDescent="0.45">
      <c r="A20" t="s">
        <v>50</v>
      </c>
      <c r="B20" s="5" t="s">
        <v>34</v>
      </c>
      <c r="C20" t="s">
        <v>13</v>
      </c>
      <c r="D20" t="s">
        <v>51</v>
      </c>
      <c r="E20">
        <v>14</v>
      </c>
      <c r="F20" s="3">
        <v>123080.7</v>
      </c>
      <c r="G20" s="3">
        <v>16104.69</v>
      </c>
      <c r="H20" s="3">
        <v>139185.39000000001</v>
      </c>
      <c r="I20">
        <v>30</v>
      </c>
      <c r="J20" s="4">
        <v>0.5</v>
      </c>
      <c r="K20" s="3">
        <v>89.221403846153834</v>
      </c>
    </row>
    <row r="21" spans="1:11" x14ac:dyDescent="0.45">
      <c r="A21" t="s">
        <v>52</v>
      </c>
      <c r="B21" s="5" t="s">
        <v>34</v>
      </c>
      <c r="C21" t="s">
        <v>13</v>
      </c>
      <c r="D21" t="s">
        <v>53</v>
      </c>
      <c r="E21">
        <v>12</v>
      </c>
      <c r="F21" s="3">
        <v>133835.18</v>
      </c>
      <c r="G21" s="3">
        <v>26717.599999999999</v>
      </c>
      <c r="H21" s="3">
        <v>160552.78</v>
      </c>
      <c r="I21">
        <v>30</v>
      </c>
      <c r="J21" s="4">
        <v>1</v>
      </c>
      <c r="K21" s="3">
        <v>102.91844871794871</v>
      </c>
    </row>
    <row r="22" spans="1:11" x14ac:dyDescent="0.45">
      <c r="A22" t="s">
        <v>54</v>
      </c>
      <c r="B22" s="2" t="s">
        <v>12</v>
      </c>
      <c r="C22" t="s">
        <v>55</v>
      </c>
      <c r="D22" t="s">
        <v>56</v>
      </c>
      <c r="E22">
        <v>4</v>
      </c>
      <c r="F22" s="3">
        <v>102289.79</v>
      </c>
      <c r="G22" s="3">
        <v>0</v>
      </c>
      <c r="H22" s="3">
        <v>102289.79</v>
      </c>
      <c r="I22">
        <v>40</v>
      </c>
      <c r="J22" s="4">
        <v>1</v>
      </c>
      <c r="K22" s="3">
        <v>49.177783653846149</v>
      </c>
    </row>
    <row r="23" spans="1:11" x14ac:dyDescent="0.45">
      <c r="A23" t="s">
        <v>57</v>
      </c>
      <c r="B23" s="2" t="s">
        <v>12</v>
      </c>
      <c r="C23" t="s">
        <v>55</v>
      </c>
      <c r="D23" t="s">
        <v>58</v>
      </c>
      <c r="E23">
        <v>10</v>
      </c>
      <c r="F23" s="3">
        <v>98632.21</v>
      </c>
      <c r="G23" s="3">
        <v>0</v>
      </c>
      <c r="H23" s="3">
        <v>98632.21</v>
      </c>
      <c r="I23">
        <v>40</v>
      </c>
      <c r="J23" s="4">
        <v>1</v>
      </c>
      <c r="K23" s="3">
        <v>47.419331730769237</v>
      </c>
    </row>
    <row r="24" spans="1:11" x14ac:dyDescent="0.45">
      <c r="A24" t="s">
        <v>59</v>
      </c>
      <c r="B24" s="2" t="s">
        <v>12</v>
      </c>
      <c r="C24" t="s">
        <v>55</v>
      </c>
      <c r="D24" t="s">
        <v>60</v>
      </c>
      <c r="E24">
        <v>11</v>
      </c>
      <c r="F24" s="3">
        <v>97747.66</v>
      </c>
      <c r="G24" s="3">
        <v>13624.39</v>
      </c>
      <c r="H24" s="3">
        <v>111372.05</v>
      </c>
      <c r="I24">
        <v>40</v>
      </c>
      <c r="J24" s="4">
        <v>1</v>
      </c>
      <c r="K24" s="3">
        <v>53.544254807692312</v>
      </c>
    </row>
    <row r="25" spans="1:11" x14ac:dyDescent="0.45">
      <c r="A25" t="s">
        <v>61</v>
      </c>
      <c r="B25" s="2" t="s">
        <v>12</v>
      </c>
      <c r="C25" t="s">
        <v>55</v>
      </c>
      <c r="D25" t="s">
        <v>62</v>
      </c>
      <c r="E25">
        <v>1</v>
      </c>
      <c r="F25" s="3">
        <v>95829.759999999995</v>
      </c>
      <c r="G25" s="3">
        <v>0</v>
      </c>
      <c r="H25" s="3">
        <v>95829.759999999995</v>
      </c>
      <c r="I25">
        <v>40</v>
      </c>
      <c r="J25" s="4">
        <v>1</v>
      </c>
      <c r="K25" s="3">
        <v>46.072000000000003</v>
      </c>
    </row>
    <row r="26" spans="1:11" x14ac:dyDescent="0.45">
      <c r="A26" t="s">
        <v>63</v>
      </c>
      <c r="B26" s="2" t="s">
        <v>12</v>
      </c>
      <c r="C26" t="s">
        <v>55</v>
      </c>
      <c r="D26" t="s">
        <v>64</v>
      </c>
      <c r="E26">
        <v>6</v>
      </c>
      <c r="F26" s="3">
        <v>100138.08</v>
      </c>
      <c r="G26" s="3">
        <v>18297.060000000001</v>
      </c>
      <c r="H26" s="3">
        <v>118435.14</v>
      </c>
      <c r="I26">
        <v>40</v>
      </c>
      <c r="J26" s="4">
        <v>1</v>
      </c>
      <c r="K26" s="3">
        <v>56.939971153846152</v>
      </c>
    </row>
    <row r="27" spans="1:11" x14ac:dyDescent="0.45">
      <c r="A27" t="s">
        <v>65</v>
      </c>
      <c r="B27" s="2" t="s">
        <v>12</v>
      </c>
      <c r="C27" t="s">
        <v>55</v>
      </c>
      <c r="D27" t="s">
        <v>66</v>
      </c>
      <c r="E27">
        <v>4</v>
      </c>
      <c r="F27" s="3">
        <v>102655.06</v>
      </c>
      <c r="G27" s="3">
        <v>9652.14</v>
      </c>
      <c r="H27" s="3">
        <v>112307.2</v>
      </c>
      <c r="I27">
        <v>40</v>
      </c>
      <c r="J27" s="4">
        <v>1</v>
      </c>
      <c r="K27" s="3">
        <v>53.99384615384615</v>
      </c>
    </row>
    <row r="28" spans="1:11" x14ac:dyDescent="0.45">
      <c r="A28" t="s">
        <v>67</v>
      </c>
      <c r="B28" s="2" t="s">
        <v>12</v>
      </c>
      <c r="C28" t="s">
        <v>55</v>
      </c>
      <c r="D28" t="s">
        <v>68</v>
      </c>
      <c r="E28">
        <v>6</v>
      </c>
      <c r="F28" s="3">
        <v>93681.13</v>
      </c>
      <c r="G28" s="3">
        <v>0</v>
      </c>
      <c r="H28" s="3">
        <v>93681.13</v>
      </c>
      <c r="I28">
        <v>40</v>
      </c>
      <c r="J28" s="4">
        <v>1</v>
      </c>
      <c r="K28" s="3">
        <v>45.039004807692308</v>
      </c>
    </row>
    <row r="29" spans="1:11" x14ac:dyDescent="0.45">
      <c r="A29" t="s">
        <v>69</v>
      </c>
      <c r="B29" s="2" t="s">
        <v>12</v>
      </c>
      <c r="C29" t="s">
        <v>55</v>
      </c>
      <c r="D29" t="s">
        <v>70</v>
      </c>
      <c r="E29">
        <v>12</v>
      </c>
      <c r="F29" s="3">
        <v>108448.81</v>
      </c>
      <c r="G29" s="3">
        <v>0</v>
      </c>
      <c r="H29" s="3">
        <v>108448.81</v>
      </c>
      <c r="I29">
        <v>40</v>
      </c>
      <c r="J29" s="4">
        <v>1</v>
      </c>
      <c r="K29" s="3">
        <v>52.138850961538459</v>
      </c>
    </row>
    <row r="30" spans="1:11" x14ac:dyDescent="0.45">
      <c r="A30" t="s">
        <v>71</v>
      </c>
      <c r="B30" s="2" t="s">
        <v>12</v>
      </c>
      <c r="C30" t="s">
        <v>55</v>
      </c>
      <c r="D30" t="s">
        <v>72</v>
      </c>
      <c r="E30">
        <v>7</v>
      </c>
      <c r="F30" s="3">
        <v>106759.89</v>
      </c>
      <c r="G30" s="3">
        <v>0</v>
      </c>
      <c r="H30" s="3">
        <v>106759.89</v>
      </c>
      <c r="I30">
        <v>40</v>
      </c>
      <c r="J30" s="4">
        <v>1</v>
      </c>
      <c r="K30" s="3">
        <v>51.326870192307688</v>
      </c>
    </row>
    <row r="31" spans="1:11" x14ac:dyDescent="0.45">
      <c r="A31" t="s">
        <v>73</v>
      </c>
      <c r="B31" s="2" t="s">
        <v>12</v>
      </c>
      <c r="C31" t="s">
        <v>55</v>
      </c>
      <c r="D31" t="s">
        <v>74</v>
      </c>
      <c r="E31">
        <v>9</v>
      </c>
      <c r="F31" s="3">
        <v>104737.58</v>
      </c>
      <c r="G31" s="3">
        <v>8361.9</v>
      </c>
      <c r="H31" s="3">
        <v>113099.48</v>
      </c>
      <c r="I31">
        <v>40</v>
      </c>
      <c r="J31" s="4">
        <v>1</v>
      </c>
      <c r="K31" s="3">
        <v>54.374749999999999</v>
      </c>
    </row>
    <row r="32" spans="1:11" x14ac:dyDescent="0.45">
      <c r="A32" t="s">
        <v>75</v>
      </c>
      <c r="B32" s="2" t="s">
        <v>12</v>
      </c>
      <c r="C32" t="s">
        <v>55</v>
      </c>
      <c r="D32" t="s">
        <v>76</v>
      </c>
      <c r="E32">
        <v>12</v>
      </c>
      <c r="F32" s="3">
        <v>102481.56</v>
      </c>
      <c r="G32" s="3">
        <v>17093.310000000001</v>
      </c>
      <c r="H32" s="3">
        <v>119574.87</v>
      </c>
      <c r="I32">
        <v>40</v>
      </c>
      <c r="J32" s="4">
        <v>1</v>
      </c>
      <c r="K32" s="3">
        <v>57.487918269230768</v>
      </c>
    </row>
    <row r="33" spans="1:11" x14ac:dyDescent="0.45">
      <c r="A33" t="s">
        <v>77</v>
      </c>
      <c r="B33" s="2" t="s">
        <v>12</v>
      </c>
      <c r="C33" t="s">
        <v>55</v>
      </c>
      <c r="D33" t="s">
        <v>78</v>
      </c>
      <c r="E33">
        <v>3</v>
      </c>
      <c r="F33" s="3">
        <v>106927.06</v>
      </c>
      <c r="G33" s="3">
        <v>13183.13</v>
      </c>
      <c r="H33" s="3">
        <v>120110.19</v>
      </c>
      <c r="I33">
        <v>40</v>
      </c>
      <c r="J33" s="4">
        <v>1</v>
      </c>
      <c r="K33" s="3">
        <v>57.745283653846158</v>
      </c>
    </row>
    <row r="34" spans="1:11" x14ac:dyDescent="0.45">
      <c r="A34" t="s">
        <v>79</v>
      </c>
      <c r="B34" s="2" t="s">
        <v>12</v>
      </c>
      <c r="C34" t="s">
        <v>55</v>
      </c>
      <c r="D34" t="s">
        <v>80</v>
      </c>
      <c r="E34">
        <v>7</v>
      </c>
      <c r="F34" s="3">
        <v>107229.31</v>
      </c>
      <c r="G34" s="3">
        <v>0</v>
      </c>
      <c r="H34" s="3">
        <v>107229.31</v>
      </c>
      <c r="I34">
        <v>40</v>
      </c>
      <c r="J34" s="4">
        <v>1</v>
      </c>
      <c r="K34" s="3">
        <v>51.55255288461538</v>
      </c>
    </row>
    <row r="35" spans="1:11" x14ac:dyDescent="0.45">
      <c r="A35" t="s">
        <v>81</v>
      </c>
      <c r="B35" s="2" t="s">
        <v>12</v>
      </c>
      <c r="C35" t="s">
        <v>55</v>
      </c>
      <c r="D35" t="s">
        <v>32</v>
      </c>
      <c r="E35">
        <v>2</v>
      </c>
      <c r="F35" s="3">
        <v>87574.39</v>
      </c>
      <c r="G35" s="3">
        <v>11831.61</v>
      </c>
      <c r="H35" s="3">
        <v>99406</v>
      </c>
      <c r="I35">
        <v>40</v>
      </c>
      <c r="J35" s="4">
        <v>1</v>
      </c>
      <c r="K35" s="3">
        <v>47.791346153846163</v>
      </c>
    </row>
    <row r="36" spans="1:11" x14ac:dyDescent="0.45">
      <c r="A36" t="s">
        <v>82</v>
      </c>
      <c r="B36" s="2" t="s">
        <v>12</v>
      </c>
      <c r="C36" t="s">
        <v>55</v>
      </c>
      <c r="D36" t="s">
        <v>83</v>
      </c>
      <c r="E36">
        <v>12</v>
      </c>
      <c r="F36" s="3">
        <v>83191.12</v>
      </c>
      <c r="G36" s="3">
        <v>5023.24</v>
      </c>
      <c r="H36" s="3">
        <v>88214.36</v>
      </c>
      <c r="I36">
        <v>40</v>
      </c>
      <c r="J36" s="4">
        <v>1</v>
      </c>
      <c r="K36" s="3">
        <v>42.41075</v>
      </c>
    </row>
    <row r="37" spans="1:11" x14ac:dyDescent="0.45">
      <c r="A37" t="s">
        <v>84</v>
      </c>
      <c r="B37" s="2" t="s">
        <v>12</v>
      </c>
      <c r="C37" t="s">
        <v>55</v>
      </c>
      <c r="D37" t="s">
        <v>85</v>
      </c>
      <c r="E37">
        <v>13</v>
      </c>
      <c r="F37" s="3">
        <v>102576.28</v>
      </c>
      <c r="G37" s="3">
        <v>12441.72</v>
      </c>
      <c r="H37" s="3">
        <v>115018</v>
      </c>
      <c r="I37">
        <v>40</v>
      </c>
      <c r="J37" s="4">
        <v>1</v>
      </c>
      <c r="K37" s="3">
        <v>55.297115384615381</v>
      </c>
    </row>
    <row r="38" spans="1:11" x14ac:dyDescent="0.45">
      <c r="A38" t="s">
        <v>86</v>
      </c>
      <c r="B38" s="2" t="s">
        <v>12</v>
      </c>
      <c r="C38" t="s">
        <v>55</v>
      </c>
      <c r="D38" t="s">
        <v>87</v>
      </c>
      <c r="E38">
        <v>5</v>
      </c>
      <c r="F38" s="3">
        <v>85456.12</v>
      </c>
      <c r="G38" s="3">
        <v>12048.38</v>
      </c>
      <c r="H38" s="3">
        <v>97504.5</v>
      </c>
      <c r="I38">
        <v>40</v>
      </c>
      <c r="J38" s="4">
        <v>1</v>
      </c>
      <c r="K38" s="3">
        <v>46.877163461538458</v>
      </c>
    </row>
    <row r="39" spans="1:11" x14ac:dyDescent="0.45">
      <c r="A39" t="s">
        <v>88</v>
      </c>
      <c r="B39" s="2" t="s">
        <v>12</v>
      </c>
      <c r="C39" t="s">
        <v>55</v>
      </c>
      <c r="D39" t="s">
        <v>89</v>
      </c>
      <c r="E39">
        <v>5</v>
      </c>
      <c r="F39" s="3">
        <v>107224.03</v>
      </c>
      <c r="G39" s="3">
        <v>0</v>
      </c>
      <c r="H39" s="3">
        <v>107224.03</v>
      </c>
      <c r="I39">
        <v>40</v>
      </c>
      <c r="J39" s="4">
        <v>1</v>
      </c>
      <c r="K39" s="3">
        <v>51.550014423076931</v>
      </c>
    </row>
    <row r="40" spans="1:11" x14ac:dyDescent="0.45">
      <c r="A40" t="s">
        <v>90</v>
      </c>
      <c r="B40" s="2" t="s">
        <v>12</v>
      </c>
      <c r="C40" t="s">
        <v>55</v>
      </c>
      <c r="D40" t="s">
        <v>91</v>
      </c>
      <c r="E40">
        <v>9</v>
      </c>
      <c r="F40" s="3">
        <v>101069.05</v>
      </c>
      <c r="G40" s="3">
        <v>15236.47</v>
      </c>
      <c r="H40" s="3">
        <v>116305.52</v>
      </c>
      <c r="I40">
        <v>40</v>
      </c>
      <c r="J40" s="4">
        <v>1</v>
      </c>
      <c r="K40" s="3">
        <v>55.916115384615388</v>
      </c>
    </row>
    <row r="41" spans="1:11" x14ac:dyDescent="0.45">
      <c r="A41" t="s">
        <v>92</v>
      </c>
      <c r="B41" s="2" t="s">
        <v>12</v>
      </c>
      <c r="C41" t="s">
        <v>55</v>
      </c>
      <c r="D41" t="s">
        <v>93</v>
      </c>
      <c r="E41">
        <v>6</v>
      </c>
      <c r="F41" s="3">
        <v>93235.85</v>
      </c>
      <c r="G41" s="3">
        <v>6354.08</v>
      </c>
      <c r="H41" s="3">
        <v>99589.93</v>
      </c>
      <c r="I41">
        <v>40</v>
      </c>
      <c r="J41" s="4">
        <v>1</v>
      </c>
      <c r="K41" s="3">
        <v>47.879774038461541</v>
      </c>
    </row>
    <row r="42" spans="1:11" x14ac:dyDescent="0.45">
      <c r="A42" t="s">
        <v>94</v>
      </c>
      <c r="B42" s="2" t="s">
        <v>12</v>
      </c>
      <c r="C42" t="s">
        <v>55</v>
      </c>
      <c r="D42" t="s">
        <v>95</v>
      </c>
      <c r="E42">
        <v>14</v>
      </c>
      <c r="F42" s="3">
        <v>82574.740000000005</v>
      </c>
      <c r="G42" s="3">
        <v>10989.73</v>
      </c>
      <c r="H42" s="3">
        <v>93564.47</v>
      </c>
      <c r="I42">
        <v>40</v>
      </c>
      <c r="J42" s="4">
        <v>1</v>
      </c>
      <c r="K42" s="3">
        <v>44.982918269230773</v>
      </c>
    </row>
    <row r="43" spans="1:11" x14ac:dyDescent="0.45">
      <c r="A43" t="s">
        <v>96</v>
      </c>
      <c r="B43" s="2" t="s">
        <v>12</v>
      </c>
      <c r="C43" t="s">
        <v>55</v>
      </c>
      <c r="D43" t="s">
        <v>97</v>
      </c>
      <c r="E43">
        <v>6</v>
      </c>
      <c r="F43" s="3">
        <v>87026.2</v>
      </c>
      <c r="G43" s="3">
        <v>12589.68</v>
      </c>
      <c r="H43" s="3">
        <v>99615.88</v>
      </c>
      <c r="I43">
        <v>40</v>
      </c>
      <c r="J43" s="4">
        <v>1</v>
      </c>
      <c r="K43" s="3">
        <v>47.892249999999997</v>
      </c>
    </row>
    <row r="44" spans="1:11" x14ac:dyDescent="0.45">
      <c r="A44" t="s">
        <v>98</v>
      </c>
      <c r="B44" s="2" t="s">
        <v>12</v>
      </c>
      <c r="C44" t="s">
        <v>55</v>
      </c>
      <c r="D44" t="s">
        <v>99</v>
      </c>
      <c r="E44">
        <v>12</v>
      </c>
      <c r="F44" s="3">
        <v>82670.91</v>
      </c>
      <c r="G44" s="3">
        <v>8231.07</v>
      </c>
      <c r="H44" s="3">
        <v>90901.98</v>
      </c>
      <c r="I44">
        <v>40</v>
      </c>
      <c r="J44" s="4">
        <v>1</v>
      </c>
      <c r="K44" s="3">
        <v>43.702875000000013</v>
      </c>
    </row>
    <row r="45" spans="1:11" x14ac:dyDescent="0.45">
      <c r="A45" t="s">
        <v>100</v>
      </c>
      <c r="B45" s="2" t="s">
        <v>12</v>
      </c>
      <c r="C45" t="s">
        <v>55</v>
      </c>
      <c r="D45" t="s">
        <v>101</v>
      </c>
      <c r="E45">
        <v>5</v>
      </c>
      <c r="F45" s="3">
        <v>87533.13</v>
      </c>
      <c r="G45" s="3">
        <v>0</v>
      </c>
      <c r="H45" s="3">
        <v>87533.13</v>
      </c>
      <c r="I45">
        <v>40</v>
      </c>
      <c r="J45" s="4">
        <v>1</v>
      </c>
      <c r="K45" s="3">
        <v>42.08323557692308</v>
      </c>
    </row>
    <row r="46" spans="1:11" x14ac:dyDescent="0.45">
      <c r="A46" t="s">
        <v>102</v>
      </c>
      <c r="B46" s="2" t="s">
        <v>12</v>
      </c>
      <c r="C46" t="s">
        <v>55</v>
      </c>
      <c r="D46" t="s">
        <v>103</v>
      </c>
      <c r="E46">
        <v>13</v>
      </c>
      <c r="F46" s="3">
        <v>96118.17</v>
      </c>
      <c r="G46" s="3">
        <v>0</v>
      </c>
      <c r="H46" s="3">
        <v>96118.17</v>
      </c>
      <c r="I46">
        <v>40</v>
      </c>
      <c r="J46" s="4">
        <v>1</v>
      </c>
      <c r="K46" s="3">
        <v>46.210658653846153</v>
      </c>
    </row>
    <row r="47" spans="1:11" x14ac:dyDescent="0.45">
      <c r="A47" t="s">
        <v>104</v>
      </c>
      <c r="B47" s="5" t="s">
        <v>34</v>
      </c>
      <c r="C47" t="s">
        <v>55</v>
      </c>
      <c r="D47" t="s">
        <v>105</v>
      </c>
      <c r="E47">
        <v>10</v>
      </c>
      <c r="F47" s="3">
        <v>95126.31</v>
      </c>
      <c r="G47" s="3">
        <v>11505.14</v>
      </c>
      <c r="H47" s="3">
        <v>106631.45</v>
      </c>
      <c r="I47">
        <v>40</v>
      </c>
      <c r="J47" s="4">
        <v>1</v>
      </c>
      <c r="K47" s="3">
        <v>51.265120192307691</v>
      </c>
    </row>
    <row r="48" spans="1:11" x14ac:dyDescent="0.45">
      <c r="A48" t="s">
        <v>106</v>
      </c>
      <c r="B48" s="5" t="s">
        <v>34</v>
      </c>
      <c r="C48" t="s">
        <v>55</v>
      </c>
      <c r="D48" t="s">
        <v>107</v>
      </c>
      <c r="E48">
        <v>11</v>
      </c>
      <c r="F48" s="3">
        <v>81754.37</v>
      </c>
      <c r="G48" s="3">
        <v>9282.1299999999992</v>
      </c>
      <c r="H48" s="3">
        <v>91036.5</v>
      </c>
      <c r="I48">
        <v>40</v>
      </c>
      <c r="J48" s="4">
        <v>1</v>
      </c>
      <c r="K48" s="3">
        <v>43.767548076923077</v>
      </c>
    </row>
    <row r="49" spans="1:11" x14ac:dyDescent="0.45">
      <c r="A49" t="s">
        <v>108</v>
      </c>
      <c r="B49" s="5" t="s">
        <v>34</v>
      </c>
      <c r="C49" t="s">
        <v>55</v>
      </c>
      <c r="D49" t="s">
        <v>109</v>
      </c>
      <c r="E49">
        <v>3</v>
      </c>
      <c r="F49" s="3">
        <v>80741.09</v>
      </c>
      <c r="G49" s="3">
        <v>0</v>
      </c>
      <c r="H49" s="3">
        <v>80741.09</v>
      </c>
      <c r="I49">
        <v>40</v>
      </c>
      <c r="J49" s="4">
        <v>1</v>
      </c>
      <c r="K49" s="3">
        <v>38.817831730769228</v>
      </c>
    </row>
    <row r="50" spans="1:11" x14ac:dyDescent="0.45">
      <c r="A50" t="s">
        <v>110</v>
      </c>
      <c r="B50" s="5" t="s">
        <v>34</v>
      </c>
      <c r="C50" t="s">
        <v>55</v>
      </c>
      <c r="D50" t="s">
        <v>111</v>
      </c>
      <c r="E50">
        <v>7</v>
      </c>
      <c r="F50" s="3">
        <v>84356.83</v>
      </c>
      <c r="G50" s="3">
        <v>9556.1299999999992</v>
      </c>
      <c r="H50" s="3">
        <v>93912.960000000006</v>
      </c>
      <c r="I50">
        <v>30</v>
      </c>
      <c r="J50" s="4">
        <v>1</v>
      </c>
      <c r="K50" s="3">
        <v>60.200615384615389</v>
      </c>
    </row>
    <row r="51" spans="1:11" x14ac:dyDescent="0.45">
      <c r="A51" t="s">
        <v>112</v>
      </c>
      <c r="B51" s="5" t="s">
        <v>34</v>
      </c>
      <c r="C51" t="s">
        <v>55</v>
      </c>
      <c r="D51" t="s">
        <v>113</v>
      </c>
      <c r="E51">
        <v>13</v>
      </c>
      <c r="F51" s="3">
        <v>103448.16</v>
      </c>
      <c r="G51" s="3">
        <v>17710.669999999998</v>
      </c>
      <c r="H51" s="3">
        <v>121158.83</v>
      </c>
      <c r="I51">
        <v>40</v>
      </c>
      <c r="J51" s="4">
        <v>1</v>
      </c>
      <c r="K51" s="3">
        <v>58.249437499999999</v>
      </c>
    </row>
    <row r="52" spans="1:11" x14ac:dyDescent="0.45">
      <c r="A52" t="s">
        <v>114</v>
      </c>
      <c r="B52" s="5" t="s">
        <v>34</v>
      </c>
      <c r="C52" t="s">
        <v>55</v>
      </c>
      <c r="D52" t="s">
        <v>115</v>
      </c>
      <c r="E52">
        <v>3</v>
      </c>
      <c r="F52" s="3">
        <v>97244.84</v>
      </c>
      <c r="G52" s="3">
        <v>5077.51</v>
      </c>
      <c r="H52" s="3">
        <v>102322.35</v>
      </c>
      <c r="I52">
        <v>40</v>
      </c>
      <c r="J52" s="4">
        <v>1</v>
      </c>
      <c r="K52" s="3">
        <v>49.193437500000002</v>
      </c>
    </row>
    <row r="53" spans="1:11" x14ac:dyDescent="0.45">
      <c r="A53" t="s">
        <v>116</v>
      </c>
      <c r="B53" s="5" t="s">
        <v>34</v>
      </c>
      <c r="C53" t="s">
        <v>55</v>
      </c>
      <c r="D53" t="s">
        <v>117</v>
      </c>
      <c r="E53">
        <v>2</v>
      </c>
      <c r="F53" s="3">
        <v>90388.95</v>
      </c>
      <c r="G53" s="3">
        <v>16242.67</v>
      </c>
      <c r="H53" s="3">
        <v>106631.62</v>
      </c>
      <c r="I53">
        <v>40</v>
      </c>
      <c r="J53" s="4">
        <v>0.75</v>
      </c>
      <c r="K53" s="3">
        <v>51.265201923076923</v>
      </c>
    </row>
    <row r="54" spans="1:11" x14ac:dyDescent="0.45">
      <c r="A54" t="s">
        <v>118</v>
      </c>
      <c r="B54" s="5" t="s">
        <v>34</v>
      </c>
      <c r="C54" t="s">
        <v>55</v>
      </c>
      <c r="D54" t="s">
        <v>119</v>
      </c>
      <c r="E54">
        <v>11</v>
      </c>
      <c r="F54" s="3">
        <v>79110.14</v>
      </c>
      <c r="G54" s="3">
        <v>14950.05</v>
      </c>
      <c r="H54" s="3">
        <v>94060.19</v>
      </c>
      <c r="I54">
        <v>40</v>
      </c>
      <c r="J54" s="4">
        <v>0.75</v>
      </c>
      <c r="K54" s="3">
        <v>45.221245192307691</v>
      </c>
    </row>
    <row r="55" spans="1:11" x14ac:dyDescent="0.45">
      <c r="A55" t="s">
        <v>120</v>
      </c>
      <c r="B55" s="5" t="s">
        <v>34</v>
      </c>
      <c r="C55" t="s">
        <v>55</v>
      </c>
      <c r="D55" t="s">
        <v>121</v>
      </c>
      <c r="E55">
        <v>13</v>
      </c>
      <c r="F55" s="3">
        <v>98484.9</v>
      </c>
      <c r="G55" s="3">
        <v>0</v>
      </c>
      <c r="H55" s="3">
        <v>98484.9</v>
      </c>
      <c r="I55">
        <v>30</v>
      </c>
      <c r="J55" s="4">
        <v>1</v>
      </c>
      <c r="K55" s="3">
        <v>63.131346153846152</v>
      </c>
    </row>
    <row r="56" spans="1:11" x14ac:dyDescent="0.45">
      <c r="A56" t="s">
        <v>122</v>
      </c>
      <c r="B56" s="5" t="s">
        <v>34</v>
      </c>
      <c r="C56" t="s">
        <v>55</v>
      </c>
      <c r="D56" t="s">
        <v>123</v>
      </c>
      <c r="E56">
        <v>13</v>
      </c>
      <c r="F56" s="3">
        <v>84348.15</v>
      </c>
      <c r="G56" s="3">
        <v>4957.3500000000004</v>
      </c>
      <c r="H56" s="3">
        <v>89305.5</v>
      </c>
      <c r="I56">
        <v>40</v>
      </c>
      <c r="J56" s="4">
        <v>1</v>
      </c>
      <c r="K56" s="3">
        <v>42.935336538461542</v>
      </c>
    </row>
    <row r="57" spans="1:11" x14ac:dyDescent="0.45">
      <c r="A57" t="s">
        <v>124</v>
      </c>
      <c r="B57" s="5" t="s">
        <v>34</v>
      </c>
      <c r="C57" t="s">
        <v>55</v>
      </c>
      <c r="D57" t="s">
        <v>125</v>
      </c>
      <c r="E57">
        <v>12</v>
      </c>
      <c r="F57" s="3">
        <v>80644.91</v>
      </c>
      <c r="G57" s="3">
        <v>10115.09</v>
      </c>
      <c r="H57" s="3">
        <v>90760</v>
      </c>
      <c r="I57">
        <v>40</v>
      </c>
      <c r="J57" s="4">
        <v>1</v>
      </c>
      <c r="K57" s="3">
        <v>43.634615384615387</v>
      </c>
    </row>
    <row r="58" spans="1:11" x14ac:dyDescent="0.45">
      <c r="A58" t="s">
        <v>126</v>
      </c>
      <c r="B58" s="5" t="s">
        <v>34</v>
      </c>
      <c r="C58" t="s">
        <v>55</v>
      </c>
      <c r="D58" t="s">
        <v>127</v>
      </c>
      <c r="E58">
        <v>14</v>
      </c>
      <c r="F58" s="3">
        <v>105855.73</v>
      </c>
      <c r="G58" s="3">
        <v>8243.3799999999992</v>
      </c>
      <c r="H58" s="3">
        <v>114099.11</v>
      </c>
      <c r="I58">
        <v>40</v>
      </c>
      <c r="J58" s="4">
        <v>1</v>
      </c>
      <c r="K58" s="3">
        <v>54.85534134615385</v>
      </c>
    </row>
    <row r="59" spans="1:11" x14ac:dyDescent="0.45">
      <c r="A59" t="s">
        <v>128</v>
      </c>
      <c r="B59" s="5" t="s">
        <v>34</v>
      </c>
      <c r="C59" t="s">
        <v>55</v>
      </c>
      <c r="D59" t="s">
        <v>129</v>
      </c>
      <c r="E59">
        <v>13</v>
      </c>
      <c r="F59" s="3">
        <v>90315.34</v>
      </c>
      <c r="G59" s="3">
        <v>0</v>
      </c>
      <c r="H59" s="3">
        <v>90315.34</v>
      </c>
      <c r="I59">
        <v>40</v>
      </c>
      <c r="J59" s="4">
        <v>0.5</v>
      </c>
      <c r="K59" s="3">
        <v>43.420836538461543</v>
      </c>
    </row>
    <row r="60" spans="1:11" x14ac:dyDescent="0.45">
      <c r="A60" t="s">
        <v>130</v>
      </c>
      <c r="B60" s="5" t="s">
        <v>34</v>
      </c>
      <c r="C60" t="s">
        <v>55</v>
      </c>
      <c r="D60" t="s">
        <v>131</v>
      </c>
      <c r="E60">
        <v>10</v>
      </c>
      <c r="F60" s="3">
        <v>95637.08</v>
      </c>
      <c r="G60" s="3">
        <v>0</v>
      </c>
      <c r="H60" s="3">
        <v>95637.08</v>
      </c>
      <c r="I60">
        <v>20</v>
      </c>
      <c r="J60" s="4">
        <v>0.5</v>
      </c>
      <c r="K60" s="3">
        <v>91.958730769230755</v>
      </c>
    </row>
    <row r="61" spans="1:11" x14ac:dyDescent="0.45">
      <c r="A61" t="s">
        <v>132</v>
      </c>
      <c r="B61" s="5" t="s">
        <v>34</v>
      </c>
      <c r="C61" t="s">
        <v>55</v>
      </c>
      <c r="D61" t="s">
        <v>133</v>
      </c>
      <c r="E61">
        <v>5</v>
      </c>
      <c r="F61" s="3">
        <v>93635.64</v>
      </c>
      <c r="G61" s="3">
        <v>0</v>
      </c>
      <c r="H61" s="3">
        <v>93635.64</v>
      </c>
      <c r="I61">
        <v>40</v>
      </c>
      <c r="J61" s="4">
        <v>1</v>
      </c>
      <c r="K61" s="3">
        <v>45.017134615384613</v>
      </c>
    </row>
    <row r="62" spans="1:11" x14ac:dyDescent="0.45">
      <c r="A62" t="s">
        <v>134</v>
      </c>
      <c r="B62" s="5" t="s">
        <v>34</v>
      </c>
      <c r="C62" t="s">
        <v>55</v>
      </c>
      <c r="D62" t="s">
        <v>135</v>
      </c>
      <c r="E62">
        <v>11</v>
      </c>
      <c r="F62" s="3">
        <v>86460.64</v>
      </c>
      <c r="G62" s="3">
        <v>12694.59</v>
      </c>
      <c r="H62" s="3">
        <v>99155.23</v>
      </c>
      <c r="I62">
        <v>40</v>
      </c>
      <c r="J62" s="4">
        <v>1</v>
      </c>
      <c r="K62" s="3">
        <v>47.670783653846151</v>
      </c>
    </row>
    <row r="63" spans="1:11" x14ac:dyDescent="0.45">
      <c r="A63" t="s">
        <v>136</v>
      </c>
      <c r="B63" s="5" t="s">
        <v>34</v>
      </c>
      <c r="C63" t="s">
        <v>55</v>
      </c>
      <c r="D63" t="s">
        <v>137</v>
      </c>
      <c r="E63">
        <v>13</v>
      </c>
      <c r="F63" s="3">
        <v>79309.899999999994</v>
      </c>
      <c r="G63" s="3">
        <v>0</v>
      </c>
      <c r="H63" s="3">
        <v>79309.899999999994</v>
      </c>
      <c r="I63">
        <v>40</v>
      </c>
      <c r="J63" s="4">
        <v>1</v>
      </c>
      <c r="K63" s="3">
        <v>38.129759615384607</v>
      </c>
    </row>
    <row r="64" spans="1:11" x14ac:dyDescent="0.45">
      <c r="A64" t="s">
        <v>138</v>
      </c>
      <c r="B64" s="5" t="s">
        <v>34</v>
      </c>
      <c r="C64" t="s">
        <v>55</v>
      </c>
      <c r="D64" t="s">
        <v>139</v>
      </c>
      <c r="E64">
        <v>8</v>
      </c>
      <c r="F64" s="3">
        <v>94050</v>
      </c>
      <c r="G64" s="3">
        <v>6571.13</v>
      </c>
      <c r="H64" s="3">
        <v>100621.13</v>
      </c>
      <c r="I64">
        <v>40</v>
      </c>
      <c r="J64" s="4">
        <v>1</v>
      </c>
      <c r="K64" s="3">
        <v>48.375543269230768</v>
      </c>
    </row>
    <row r="65" spans="1:11" x14ac:dyDescent="0.45">
      <c r="A65" t="s">
        <v>140</v>
      </c>
      <c r="B65" s="5" t="s">
        <v>34</v>
      </c>
      <c r="C65" t="s">
        <v>55</v>
      </c>
      <c r="D65" t="s">
        <v>141</v>
      </c>
      <c r="E65">
        <v>7</v>
      </c>
      <c r="F65" s="3">
        <v>89359.81</v>
      </c>
      <c r="G65" s="3">
        <v>15643.48</v>
      </c>
      <c r="H65" s="3">
        <v>105003.29</v>
      </c>
      <c r="I65">
        <v>20</v>
      </c>
      <c r="J65" s="4">
        <v>0.5</v>
      </c>
      <c r="K65" s="3">
        <v>100.9647019230769</v>
      </c>
    </row>
    <row r="66" spans="1:11" x14ac:dyDescent="0.45">
      <c r="A66" t="s">
        <v>142</v>
      </c>
      <c r="B66" s="5" t="s">
        <v>34</v>
      </c>
      <c r="C66" t="s">
        <v>55</v>
      </c>
      <c r="D66" t="s">
        <v>143</v>
      </c>
      <c r="E66">
        <v>7</v>
      </c>
      <c r="F66" s="3">
        <v>79268.259999999995</v>
      </c>
      <c r="G66" s="3">
        <v>0</v>
      </c>
      <c r="H66" s="3">
        <v>79268.259999999995</v>
      </c>
      <c r="I66">
        <v>40</v>
      </c>
      <c r="J66" s="4">
        <v>1</v>
      </c>
      <c r="K66" s="3">
        <v>38.109740384615392</v>
      </c>
    </row>
    <row r="67" spans="1:11" x14ac:dyDescent="0.45">
      <c r="A67" t="s">
        <v>144</v>
      </c>
      <c r="B67" s="5" t="s">
        <v>34</v>
      </c>
      <c r="C67" t="s">
        <v>55</v>
      </c>
      <c r="D67" t="s">
        <v>145</v>
      </c>
      <c r="E67">
        <v>13</v>
      </c>
      <c r="F67" s="3">
        <v>86428.6</v>
      </c>
      <c r="G67" s="3">
        <v>0</v>
      </c>
      <c r="H67" s="3">
        <v>86428.6</v>
      </c>
      <c r="I67">
        <v>40</v>
      </c>
      <c r="J67" s="4">
        <v>1</v>
      </c>
      <c r="K67" s="3">
        <v>41.552211538461542</v>
      </c>
    </row>
    <row r="68" spans="1:11" x14ac:dyDescent="0.45">
      <c r="A68" t="s">
        <v>146</v>
      </c>
      <c r="B68" s="5" t="s">
        <v>34</v>
      </c>
      <c r="C68" t="s">
        <v>55</v>
      </c>
      <c r="D68" t="s">
        <v>147</v>
      </c>
      <c r="E68">
        <v>6</v>
      </c>
      <c r="F68" s="3">
        <v>86911</v>
      </c>
      <c r="G68" s="3">
        <v>8815.56</v>
      </c>
      <c r="H68" s="3">
        <v>95726.56</v>
      </c>
      <c r="I68">
        <v>20</v>
      </c>
      <c r="J68" s="4">
        <v>0.75</v>
      </c>
      <c r="K68" s="3">
        <v>92.044769230769234</v>
      </c>
    </row>
    <row r="69" spans="1:11" x14ac:dyDescent="0.45">
      <c r="A69" t="s">
        <v>148</v>
      </c>
      <c r="B69" s="5" t="s">
        <v>34</v>
      </c>
      <c r="C69" t="s">
        <v>55</v>
      </c>
      <c r="D69" t="s">
        <v>149</v>
      </c>
      <c r="E69">
        <v>2</v>
      </c>
      <c r="F69" s="3">
        <v>86056.28</v>
      </c>
      <c r="G69" s="3">
        <v>0</v>
      </c>
      <c r="H69" s="3">
        <v>86056.28</v>
      </c>
      <c r="I69">
        <v>40</v>
      </c>
      <c r="J69" s="4">
        <v>0.75</v>
      </c>
      <c r="K69" s="3">
        <v>41.37321153846154</v>
      </c>
    </row>
    <row r="70" spans="1:11" x14ac:dyDescent="0.45">
      <c r="A70" t="s">
        <v>150</v>
      </c>
      <c r="B70" s="5" t="s">
        <v>34</v>
      </c>
      <c r="C70" t="s">
        <v>55</v>
      </c>
      <c r="D70" t="s">
        <v>151</v>
      </c>
      <c r="E70">
        <v>3</v>
      </c>
      <c r="F70" s="3">
        <v>102188.81</v>
      </c>
      <c r="G70" s="3">
        <v>10222.299999999999</v>
      </c>
      <c r="H70" s="3">
        <v>112411.11</v>
      </c>
      <c r="I70">
        <v>40</v>
      </c>
      <c r="J70" s="4">
        <v>1</v>
      </c>
      <c r="K70" s="3">
        <v>54.043802884615388</v>
      </c>
    </row>
    <row r="71" spans="1:11" x14ac:dyDescent="0.45">
      <c r="A71" t="s">
        <v>152</v>
      </c>
      <c r="B71" s="5" t="s">
        <v>34</v>
      </c>
      <c r="C71" t="s">
        <v>55</v>
      </c>
      <c r="D71" t="s">
        <v>153</v>
      </c>
      <c r="E71">
        <v>1</v>
      </c>
      <c r="F71" s="3">
        <v>99730.34</v>
      </c>
      <c r="G71" s="3">
        <v>11384.52</v>
      </c>
      <c r="H71" s="3">
        <v>111114.86</v>
      </c>
      <c r="I71">
        <v>40</v>
      </c>
      <c r="J71" s="4">
        <v>1</v>
      </c>
      <c r="K71" s="3">
        <v>53.420605769230768</v>
      </c>
    </row>
    <row r="72" spans="1:11" x14ac:dyDescent="0.45">
      <c r="A72" t="s">
        <v>154</v>
      </c>
      <c r="B72" s="2" t="s">
        <v>12</v>
      </c>
      <c r="C72" t="s">
        <v>155</v>
      </c>
      <c r="D72" t="s">
        <v>156</v>
      </c>
      <c r="E72">
        <v>4</v>
      </c>
      <c r="F72" s="3">
        <v>85013.65</v>
      </c>
      <c r="G72" s="3">
        <v>0</v>
      </c>
      <c r="H72" s="3">
        <v>85013.65</v>
      </c>
      <c r="I72">
        <v>40</v>
      </c>
      <c r="J72" s="4">
        <v>1</v>
      </c>
      <c r="K72" s="3">
        <v>40.871947115384607</v>
      </c>
    </row>
    <row r="73" spans="1:11" x14ac:dyDescent="0.45">
      <c r="A73" t="s">
        <v>157</v>
      </c>
      <c r="B73" s="2" t="s">
        <v>12</v>
      </c>
      <c r="C73" t="s">
        <v>155</v>
      </c>
      <c r="D73" t="s">
        <v>158</v>
      </c>
      <c r="E73">
        <v>14</v>
      </c>
      <c r="F73" s="3">
        <v>76025.78</v>
      </c>
      <c r="G73" s="3">
        <v>0</v>
      </c>
      <c r="H73" s="3">
        <v>76025.78</v>
      </c>
      <c r="I73">
        <v>40</v>
      </c>
      <c r="J73" s="4">
        <v>1</v>
      </c>
      <c r="K73" s="3">
        <v>36.550855769230772</v>
      </c>
    </row>
    <row r="74" spans="1:11" x14ac:dyDescent="0.45">
      <c r="A74" t="s">
        <v>159</v>
      </c>
      <c r="B74" s="2" t="s">
        <v>12</v>
      </c>
      <c r="C74" t="s">
        <v>155</v>
      </c>
      <c r="D74" t="s">
        <v>160</v>
      </c>
      <c r="E74">
        <v>1</v>
      </c>
      <c r="F74" s="3">
        <v>76181.81</v>
      </c>
      <c r="G74" s="3">
        <v>0</v>
      </c>
      <c r="H74" s="3">
        <v>76181.81</v>
      </c>
      <c r="I74">
        <v>40</v>
      </c>
      <c r="J74" s="4">
        <v>1</v>
      </c>
      <c r="K74" s="3">
        <v>36.625870192307687</v>
      </c>
    </row>
    <row r="75" spans="1:11" x14ac:dyDescent="0.45">
      <c r="A75" t="s">
        <v>161</v>
      </c>
      <c r="B75" s="2" t="s">
        <v>12</v>
      </c>
      <c r="C75" t="s">
        <v>155</v>
      </c>
      <c r="D75" t="s">
        <v>162</v>
      </c>
      <c r="E75">
        <v>1</v>
      </c>
      <c r="F75" s="3">
        <v>70685.81</v>
      </c>
      <c r="G75" s="3">
        <v>0</v>
      </c>
      <c r="H75" s="3">
        <v>70685.81</v>
      </c>
      <c r="I75">
        <v>40</v>
      </c>
      <c r="J75" s="4">
        <v>1</v>
      </c>
      <c r="K75" s="3">
        <v>33.983562499999998</v>
      </c>
    </row>
    <row r="76" spans="1:11" x14ac:dyDescent="0.45">
      <c r="A76" t="s">
        <v>163</v>
      </c>
      <c r="B76" s="2" t="s">
        <v>12</v>
      </c>
      <c r="C76" t="s">
        <v>155</v>
      </c>
      <c r="D76" t="s">
        <v>164</v>
      </c>
      <c r="E76">
        <v>3</v>
      </c>
      <c r="F76" s="3">
        <v>83975.8</v>
      </c>
      <c r="G76" s="3">
        <v>7341.96</v>
      </c>
      <c r="H76" s="3">
        <v>91317.759999999995</v>
      </c>
      <c r="I76">
        <v>40</v>
      </c>
      <c r="J76" s="4">
        <v>1</v>
      </c>
      <c r="K76" s="3">
        <v>43.902769230769238</v>
      </c>
    </row>
    <row r="77" spans="1:11" x14ac:dyDescent="0.45">
      <c r="A77" t="s">
        <v>165</v>
      </c>
      <c r="B77" s="2" t="s">
        <v>12</v>
      </c>
      <c r="C77" t="s">
        <v>155</v>
      </c>
      <c r="D77" t="s">
        <v>166</v>
      </c>
      <c r="E77">
        <v>10</v>
      </c>
      <c r="F77" s="3">
        <v>71707.77</v>
      </c>
      <c r="G77" s="3">
        <v>0</v>
      </c>
      <c r="H77" s="3">
        <v>71707.77</v>
      </c>
      <c r="I77">
        <v>40</v>
      </c>
      <c r="J77" s="4">
        <v>1</v>
      </c>
      <c r="K77" s="3">
        <v>34.474889423076917</v>
      </c>
    </row>
    <row r="78" spans="1:11" x14ac:dyDescent="0.45">
      <c r="A78" t="s">
        <v>167</v>
      </c>
      <c r="B78" s="2" t="s">
        <v>12</v>
      </c>
      <c r="C78" t="s">
        <v>155</v>
      </c>
      <c r="D78" t="s">
        <v>168</v>
      </c>
      <c r="E78">
        <v>6</v>
      </c>
      <c r="F78" s="3">
        <v>85661.33</v>
      </c>
      <c r="G78" s="3">
        <v>0</v>
      </c>
      <c r="H78" s="3">
        <v>85661.33</v>
      </c>
      <c r="I78">
        <v>40</v>
      </c>
      <c r="J78" s="4">
        <v>1</v>
      </c>
      <c r="K78" s="3">
        <v>41.183331730769233</v>
      </c>
    </row>
    <row r="79" spans="1:11" x14ac:dyDescent="0.45">
      <c r="A79" t="s">
        <v>169</v>
      </c>
      <c r="B79" s="2" t="s">
        <v>12</v>
      </c>
      <c r="C79" t="s">
        <v>155</v>
      </c>
      <c r="D79" t="s">
        <v>170</v>
      </c>
      <c r="E79">
        <v>4</v>
      </c>
      <c r="F79" s="3">
        <v>83203.63</v>
      </c>
      <c r="G79" s="3">
        <v>0</v>
      </c>
      <c r="H79" s="3">
        <v>83203.63</v>
      </c>
      <c r="I79">
        <v>40</v>
      </c>
      <c r="J79" s="4">
        <v>1</v>
      </c>
      <c r="K79" s="3">
        <v>40.001745192307688</v>
      </c>
    </row>
    <row r="80" spans="1:11" x14ac:dyDescent="0.45">
      <c r="A80" t="s">
        <v>171</v>
      </c>
      <c r="B80" s="2" t="s">
        <v>12</v>
      </c>
      <c r="C80" t="s">
        <v>155</v>
      </c>
      <c r="D80" t="s">
        <v>172</v>
      </c>
      <c r="E80">
        <v>8</v>
      </c>
      <c r="F80" s="3">
        <v>83581.86</v>
      </c>
      <c r="G80" s="3">
        <v>13413.61</v>
      </c>
      <c r="H80" s="3">
        <v>96995.47</v>
      </c>
      <c r="I80">
        <v>40</v>
      </c>
      <c r="J80" s="4">
        <v>1</v>
      </c>
      <c r="K80" s="3">
        <v>46.632437500000002</v>
      </c>
    </row>
    <row r="81" spans="1:11" x14ac:dyDescent="0.45">
      <c r="A81" t="s">
        <v>173</v>
      </c>
      <c r="B81" s="2" t="s">
        <v>12</v>
      </c>
      <c r="C81" t="s">
        <v>155</v>
      </c>
      <c r="D81" t="s">
        <v>174</v>
      </c>
      <c r="E81">
        <v>6</v>
      </c>
      <c r="F81" s="3">
        <v>81353.7</v>
      </c>
      <c r="G81" s="3">
        <v>0</v>
      </c>
      <c r="H81" s="3">
        <v>81353.7</v>
      </c>
      <c r="I81">
        <v>40</v>
      </c>
      <c r="J81" s="4">
        <v>1</v>
      </c>
      <c r="K81" s="3">
        <v>39.112355769230767</v>
      </c>
    </row>
    <row r="82" spans="1:11" x14ac:dyDescent="0.45">
      <c r="A82" t="s">
        <v>175</v>
      </c>
      <c r="B82" s="2" t="s">
        <v>12</v>
      </c>
      <c r="C82" t="s">
        <v>155</v>
      </c>
      <c r="D82" t="s">
        <v>176</v>
      </c>
      <c r="E82">
        <v>3</v>
      </c>
      <c r="F82" s="3">
        <v>69753.13</v>
      </c>
      <c r="G82" s="3">
        <v>0</v>
      </c>
      <c r="H82" s="3">
        <v>69753.13</v>
      </c>
      <c r="I82">
        <v>40</v>
      </c>
      <c r="J82" s="4">
        <v>1</v>
      </c>
      <c r="K82" s="3">
        <v>33.535158653846153</v>
      </c>
    </row>
    <row r="83" spans="1:11" x14ac:dyDescent="0.45">
      <c r="A83" t="s">
        <v>177</v>
      </c>
      <c r="B83" s="2" t="s">
        <v>12</v>
      </c>
      <c r="C83" t="s">
        <v>155</v>
      </c>
      <c r="D83" t="s">
        <v>178</v>
      </c>
      <c r="E83">
        <v>5</v>
      </c>
      <c r="F83" s="3">
        <v>72357.19</v>
      </c>
      <c r="G83" s="3">
        <v>8726.5300000000007</v>
      </c>
      <c r="H83" s="3">
        <v>81083.72</v>
      </c>
      <c r="I83">
        <v>40</v>
      </c>
      <c r="J83" s="4">
        <v>1</v>
      </c>
      <c r="K83" s="3">
        <v>38.982557692307687</v>
      </c>
    </row>
    <row r="84" spans="1:11" x14ac:dyDescent="0.45">
      <c r="A84" t="s">
        <v>179</v>
      </c>
      <c r="B84" s="2" t="s">
        <v>12</v>
      </c>
      <c r="C84" t="s">
        <v>155</v>
      </c>
      <c r="D84" t="s">
        <v>180</v>
      </c>
      <c r="E84">
        <v>7</v>
      </c>
      <c r="F84" s="3">
        <v>82123.199999999997</v>
      </c>
      <c r="G84" s="3">
        <v>0</v>
      </c>
      <c r="H84" s="3">
        <v>82123.199999999997</v>
      </c>
      <c r="I84">
        <v>40</v>
      </c>
      <c r="J84" s="4">
        <v>1</v>
      </c>
      <c r="K84" s="3">
        <v>39.482307692307693</v>
      </c>
    </row>
    <row r="85" spans="1:11" x14ac:dyDescent="0.45">
      <c r="A85" t="s">
        <v>181</v>
      </c>
      <c r="B85" s="2" t="s">
        <v>12</v>
      </c>
      <c r="C85" t="s">
        <v>155</v>
      </c>
      <c r="D85" t="s">
        <v>182</v>
      </c>
      <c r="E85">
        <v>6</v>
      </c>
      <c r="F85" s="3">
        <v>82212.070000000007</v>
      </c>
      <c r="G85" s="3">
        <v>0</v>
      </c>
      <c r="H85" s="3">
        <v>82212.070000000007</v>
      </c>
      <c r="I85">
        <v>40</v>
      </c>
      <c r="J85" s="4">
        <v>1</v>
      </c>
      <c r="K85" s="3">
        <v>39.525033653846158</v>
      </c>
    </row>
    <row r="86" spans="1:11" x14ac:dyDescent="0.45">
      <c r="A86" t="s">
        <v>183</v>
      </c>
      <c r="B86" s="2" t="s">
        <v>12</v>
      </c>
      <c r="C86" t="s">
        <v>155</v>
      </c>
      <c r="D86" t="s">
        <v>184</v>
      </c>
      <c r="E86">
        <v>2</v>
      </c>
      <c r="F86" s="3">
        <v>64282.45</v>
      </c>
      <c r="G86" s="3">
        <v>6379.34</v>
      </c>
      <c r="H86" s="3">
        <v>70661.789999999994</v>
      </c>
      <c r="I86">
        <v>40</v>
      </c>
      <c r="J86" s="4">
        <v>1</v>
      </c>
      <c r="K86" s="3">
        <v>33.972014423076921</v>
      </c>
    </row>
    <row r="87" spans="1:11" x14ac:dyDescent="0.45">
      <c r="A87" t="s">
        <v>185</v>
      </c>
      <c r="B87" s="2" t="s">
        <v>12</v>
      </c>
      <c r="C87" t="s">
        <v>155</v>
      </c>
      <c r="D87" t="s">
        <v>186</v>
      </c>
      <c r="E87">
        <v>9</v>
      </c>
      <c r="F87" s="3">
        <v>85505</v>
      </c>
      <c r="G87" s="3">
        <v>12502.73</v>
      </c>
      <c r="H87" s="3">
        <v>98007.73</v>
      </c>
      <c r="I87">
        <v>40</v>
      </c>
      <c r="J87" s="4">
        <v>1</v>
      </c>
      <c r="K87" s="3">
        <v>47.119100961538457</v>
      </c>
    </row>
    <row r="88" spans="1:11" x14ac:dyDescent="0.45">
      <c r="A88" t="s">
        <v>187</v>
      </c>
      <c r="B88" s="2" t="s">
        <v>12</v>
      </c>
      <c r="C88" t="s">
        <v>155</v>
      </c>
      <c r="D88" t="s">
        <v>188</v>
      </c>
      <c r="E88">
        <v>8</v>
      </c>
      <c r="F88" s="3">
        <v>79039.16</v>
      </c>
      <c r="G88" s="3">
        <v>0</v>
      </c>
      <c r="H88" s="3">
        <v>79039.16</v>
      </c>
      <c r="I88">
        <v>40</v>
      </c>
      <c r="J88" s="4">
        <v>1</v>
      </c>
      <c r="K88" s="3">
        <v>37.999596153846163</v>
      </c>
    </row>
    <row r="89" spans="1:11" x14ac:dyDescent="0.45">
      <c r="A89" t="s">
        <v>189</v>
      </c>
      <c r="B89" s="2" t="s">
        <v>12</v>
      </c>
      <c r="C89" t="s">
        <v>155</v>
      </c>
      <c r="D89" t="s">
        <v>190</v>
      </c>
      <c r="E89">
        <v>5</v>
      </c>
      <c r="F89" s="3">
        <v>84882.84</v>
      </c>
      <c r="G89" s="3">
        <v>16599.7</v>
      </c>
      <c r="H89" s="3">
        <v>101482.54</v>
      </c>
      <c r="I89">
        <v>40</v>
      </c>
      <c r="J89" s="4">
        <v>1</v>
      </c>
      <c r="K89" s="3">
        <v>48.789682692307693</v>
      </c>
    </row>
    <row r="90" spans="1:11" x14ac:dyDescent="0.45">
      <c r="A90" t="s">
        <v>191</v>
      </c>
      <c r="B90" s="2" t="s">
        <v>12</v>
      </c>
      <c r="C90" t="s">
        <v>155</v>
      </c>
      <c r="D90" t="s">
        <v>192</v>
      </c>
      <c r="E90">
        <v>1</v>
      </c>
      <c r="F90" s="3">
        <v>76813.27</v>
      </c>
      <c r="G90" s="3">
        <v>0</v>
      </c>
      <c r="H90" s="3">
        <v>76813.27</v>
      </c>
      <c r="I90">
        <v>40</v>
      </c>
      <c r="J90" s="4">
        <v>1</v>
      </c>
      <c r="K90" s="3">
        <v>36.929456730769232</v>
      </c>
    </row>
    <row r="91" spans="1:11" x14ac:dyDescent="0.45">
      <c r="A91" t="s">
        <v>193</v>
      </c>
      <c r="B91" s="2" t="s">
        <v>12</v>
      </c>
      <c r="C91" t="s">
        <v>155</v>
      </c>
      <c r="D91" t="s">
        <v>194</v>
      </c>
      <c r="E91">
        <v>8</v>
      </c>
      <c r="F91" s="3">
        <v>66189.06</v>
      </c>
      <c r="G91" s="3">
        <v>0</v>
      </c>
      <c r="H91" s="3">
        <v>66189.06</v>
      </c>
      <c r="I91">
        <v>40</v>
      </c>
      <c r="J91" s="4">
        <v>1</v>
      </c>
      <c r="K91" s="3">
        <v>31.82166346153846</v>
      </c>
    </row>
    <row r="92" spans="1:11" x14ac:dyDescent="0.45">
      <c r="A92" t="s">
        <v>195</v>
      </c>
      <c r="B92" s="2" t="s">
        <v>12</v>
      </c>
      <c r="C92" t="s">
        <v>155</v>
      </c>
      <c r="D92" t="s">
        <v>196</v>
      </c>
      <c r="E92">
        <v>3</v>
      </c>
      <c r="F92" s="3">
        <v>73568.86</v>
      </c>
      <c r="G92" s="3">
        <v>0</v>
      </c>
      <c r="H92" s="3">
        <v>73568.86</v>
      </c>
      <c r="I92">
        <v>40</v>
      </c>
      <c r="J92" s="4">
        <v>1</v>
      </c>
      <c r="K92" s="3">
        <v>35.369644230769232</v>
      </c>
    </row>
    <row r="93" spans="1:11" x14ac:dyDescent="0.45">
      <c r="A93" t="s">
        <v>197</v>
      </c>
      <c r="B93" s="2" t="s">
        <v>12</v>
      </c>
      <c r="C93" t="s">
        <v>155</v>
      </c>
      <c r="D93" t="s">
        <v>198</v>
      </c>
      <c r="E93">
        <v>6</v>
      </c>
      <c r="F93" s="3">
        <v>72416.899999999994</v>
      </c>
      <c r="G93" s="3">
        <v>0</v>
      </c>
      <c r="H93" s="3">
        <v>72416.899999999994</v>
      </c>
      <c r="I93">
        <v>40</v>
      </c>
      <c r="J93" s="4">
        <v>1</v>
      </c>
      <c r="K93" s="3">
        <v>34.815817307692313</v>
      </c>
    </row>
    <row r="94" spans="1:11" x14ac:dyDescent="0.45">
      <c r="A94" t="s">
        <v>199</v>
      </c>
      <c r="B94" s="2" t="s">
        <v>12</v>
      </c>
      <c r="C94" t="s">
        <v>155</v>
      </c>
      <c r="D94" t="s">
        <v>200</v>
      </c>
      <c r="E94">
        <v>12</v>
      </c>
      <c r="F94" s="3">
        <v>64748.7</v>
      </c>
      <c r="G94" s="3">
        <v>0</v>
      </c>
      <c r="H94" s="3">
        <v>64748.7</v>
      </c>
      <c r="I94">
        <v>40</v>
      </c>
      <c r="J94" s="4">
        <v>1</v>
      </c>
      <c r="K94" s="3">
        <v>31.12918269230769</v>
      </c>
    </row>
    <row r="95" spans="1:11" x14ac:dyDescent="0.45">
      <c r="A95" t="s">
        <v>201</v>
      </c>
      <c r="B95" s="2" t="s">
        <v>12</v>
      </c>
      <c r="C95" t="s">
        <v>155</v>
      </c>
      <c r="D95" t="s">
        <v>202</v>
      </c>
      <c r="E95">
        <v>5</v>
      </c>
      <c r="F95" s="3">
        <v>84575.44</v>
      </c>
      <c r="G95" s="3">
        <v>0</v>
      </c>
      <c r="H95" s="3">
        <v>84575.44</v>
      </c>
      <c r="I95">
        <v>40</v>
      </c>
      <c r="J95" s="4">
        <v>1</v>
      </c>
      <c r="K95" s="3">
        <v>40.661269230769228</v>
      </c>
    </row>
    <row r="96" spans="1:11" x14ac:dyDescent="0.45">
      <c r="A96" t="s">
        <v>203</v>
      </c>
      <c r="B96" s="2" t="s">
        <v>12</v>
      </c>
      <c r="C96" t="s">
        <v>155</v>
      </c>
      <c r="D96" t="s">
        <v>204</v>
      </c>
      <c r="E96">
        <v>8</v>
      </c>
      <c r="F96" s="3">
        <v>71944.98</v>
      </c>
      <c r="G96" s="3">
        <v>10765.53</v>
      </c>
      <c r="H96" s="3">
        <v>82710.509999999995</v>
      </c>
      <c r="I96">
        <v>40</v>
      </c>
      <c r="J96" s="4">
        <v>1</v>
      </c>
      <c r="K96" s="3">
        <v>39.764668269230768</v>
      </c>
    </row>
    <row r="97" spans="1:11" x14ac:dyDescent="0.45">
      <c r="A97" t="s">
        <v>205</v>
      </c>
      <c r="B97" s="2" t="s">
        <v>12</v>
      </c>
      <c r="C97" t="s">
        <v>155</v>
      </c>
      <c r="D97" t="s">
        <v>206</v>
      </c>
      <c r="E97">
        <v>3</v>
      </c>
      <c r="F97" s="3">
        <v>77771</v>
      </c>
      <c r="G97" s="3">
        <v>0</v>
      </c>
      <c r="H97" s="3">
        <v>77771</v>
      </c>
      <c r="I97">
        <v>40</v>
      </c>
      <c r="J97" s="4">
        <v>1</v>
      </c>
      <c r="K97" s="3">
        <v>37.38990384615385</v>
      </c>
    </row>
    <row r="98" spans="1:11" x14ac:dyDescent="0.45">
      <c r="A98" t="s">
        <v>207</v>
      </c>
      <c r="B98" s="2" t="s">
        <v>12</v>
      </c>
      <c r="C98" t="s">
        <v>155</v>
      </c>
      <c r="D98" t="s">
        <v>208</v>
      </c>
      <c r="E98">
        <v>10</v>
      </c>
      <c r="F98" s="3">
        <v>79944.47</v>
      </c>
      <c r="G98" s="3">
        <v>7706.06</v>
      </c>
      <c r="H98" s="3">
        <v>87650.53</v>
      </c>
      <c r="I98">
        <v>40</v>
      </c>
      <c r="J98" s="4">
        <v>1</v>
      </c>
      <c r="K98" s="3">
        <v>42.139677884615381</v>
      </c>
    </row>
    <row r="99" spans="1:11" x14ac:dyDescent="0.45">
      <c r="A99" t="s">
        <v>209</v>
      </c>
      <c r="B99" s="2" t="s">
        <v>12</v>
      </c>
      <c r="C99" t="s">
        <v>155</v>
      </c>
      <c r="D99" t="s">
        <v>210</v>
      </c>
      <c r="E99">
        <v>13</v>
      </c>
      <c r="F99" s="3">
        <v>71089.119999999995</v>
      </c>
      <c r="G99" s="3">
        <v>0</v>
      </c>
      <c r="H99" s="3">
        <v>71089.119999999995</v>
      </c>
      <c r="I99">
        <v>40</v>
      </c>
      <c r="J99" s="4">
        <v>1</v>
      </c>
      <c r="K99" s="3">
        <v>34.177461538461543</v>
      </c>
    </row>
    <row r="100" spans="1:11" x14ac:dyDescent="0.45">
      <c r="A100" t="s">
        <v>211</v>
      </c>
      <c r="B100" s="2" t="s">
        <v>12</v>
      </c>
      <c r="C100" t="s">
        <v>155</v>
      </c>
      <c r="D100" t="s">
        <v>212</v>
      </c>
      <c r="E100">
        <v>9</v>
      </c>
      <c r="F100" s="3">
        <v>66613.98</v>
      </c>
      <c r="G100" s="3">
        <v>0</v>
      </c>
      <c r="H100" s="3">
        <v>66613.98</v>
      </c>
      <c r="I100">
        <v>40</v>
      </c>
      <c r="J100" s="4">
        <v>1</v>
      </c>
      <c r="K100" s="3">
        <v>32.025951923076917</v>
      </c>
    </row>
    <row r="101" spans="1:11" x14ac:dyDescent="0.45">
      <c r="A101" t="s">
        <v>213</v>
      </c>
      <c r="B101" s="2" t="s">
        <v>12</v>
      </c>
      <c r="C101" t="s">
        <v>155</v>
      </c>
      <c r="D101" t="s">
        <v>214</v>
      </c>
      <c r="E101">
        <v>14</v>
      </c>
      <c r="F101" s="3">
        <v>78989.649999999994</v>
      </c>
      <c r="G101" s="3">
        <v>0</v>
      </c>
      <c r="H101" s="3">
        <v>78989.649999999994</v>
      </c>
      <c r="I101">
        <v>40</v>
      </c>
      <c r="J101" s="4">
        <v>1</v>
      </c>
      <c r="K101" s="3">
        <v>37.975793269230763</v>
      </c>
    </row>
    <row r="102" spans="1:11" x14ac:dyDescent="0.45">
      <c r="A102" t="s">
        <v>215</v>
      </c>
      <c r="B102" s="2" t="s">
        <v>12</v>
      </c>
      <c r="C102" t="s">
        <v>155</v>
      </c>
      <c r="D102" t="s">
        <v>216</v>
      </c>
      <c r="E102">
        <v>1</v>
      </c>
      <c r="F102" s="3">
        <v>76554.87</v>
      </c>
      <c r="G102" s="3">
        <v>0</v>
      </c>
      <c r="H102" s="3">
        <v>76554.87</v>
      </c>
      <c r="I102">
        <v>40</v>
      </c>
      <c r="J102" s="4">
        <v>1</v>
      </c>
      <c r="K102" s="3">
        <v>36.805225961538461</v>
      </c>
    </row>
    <row r="103" spans="1:11" x14ac:dyDescent="0.45">
      <c r="A103" t="s">
        <v>217</v>
      </c>
      <c r="B103" s="2" t="s">
        <v>12</v>
      </c>
      <c r="C103" t="s">
        <v>155</v>
      </c>
      <c r="D103" t="s">
        <v>218</v>
      </c>
      <c r="E103">
        <v>14</v>
      </c>
      <c r="F103" s="3">
        <v>70587.19</v>
      </c>
      <c r="G103" s="3">
        <v>11849.04</v>
      </c>
      <c r="H103" s="3">
        <v>82436.23000000001</v>
      </c>
      <c r="I103">
        <v>40</v>
      </c>
      <c r="J103" s="4">
        <v>1</v>
      </c>
      <c r="K103" s="3">
        <v>39.632802884615387</v>
      </c>
    </row>
    <row r="104" spans="1:11" x14ac:dyDescent="0.45">
      <c r="A104" t="s">
        <v>219</v>
      </c>
      <c r="B104" s="2" t="s">
        <v>12</v>
      </c>
      <c r="C104" t="s">
        <v>155</v>
      </c>
      <c r="D104" t="s">
        <v>220</v>
      </c>
      <c r="E104">
        <v>10</v>
      </c>
      <c r="F104" s="3">
        <v>78480.88</v>
      </c>
      <c r="G104" s="3">
        <v>0</v>
      </c>
      <c r="H104" s="3">
        <v>78480.88</v>
      </c>
      <c r="I104">
        <v>40</v>
      </c>
      <c r="J104" s="4">
        <v>1</v>
      </c>
      <c r="K104" s="3">
        <v>37.731192307692311</v>
      </c>
    </row>
    <row r="105" spans="1:11" x14ac:dyDescent="0.45">
      <c r="A105" t="s">
        <v>221</v>
      </c>
      <c r="B105" s="2" t="s">
        <v>12</v>
      </c>
      <c r="C105" t="s">
        <v>155</v>
      </c>
      <c r="D105" t="s">
        <v>222</v>
      </c>
      <c r="E105">
        <v>4</v>
      </c>
      <c r="F105" s="3">
        <v>78951.61</v>
      </c>
      <c r="G105" s="3">
        <v>0</v>
      </c>
      <c r="H105" s="3">
        <v>78951.61</v>
      </c>
      <c r="I105">
        <v>40</v>
      </c>
      <c r="J105" s="4">
        <v>1</v>
      </c>
      <c r="K105" s="3">
        <v>37.95750480769231</v>
      </c>
    </row>
    <row r="106" spans="1:11" x14ac:dyDescent="0.45">
      <c r="A106" t="s">
        <v>223</v>
      </c>
      <c r="B106" s="2" t="s">
        <v>12</v>
      </c>
      <c r="C106" t="s">
        <v>155</v>
      </c>
      <c r="D106" t="s">
        <v>224</v>
      </c>
      <c r="E106">
        <v>14</v>
      </c>
      <c r="F106" s="3">
        <v>78574.14</v>
      </c>
      <c r="G106" s="3">
        <v>11752.97</v>
      </c>
      <c r="H106" s="3">
        <v>90327.11</v>
      </c>
      <c r="I106">
        <v>40</v>
      </c>
      <c r="J106" s="4">
        <v>1</v>
      </c>
      <c r="K106" s="3">
        <v>43.426495192307691</v>
      </c>
    </row>
    <row r="107" spans="1:11" x14ac:dyDescent="0.45">
      <c r="A107" t="s">
        <v>225</v>
      </c>
      <c r="B107" s="2" t="s">
        <v>12</v>
      </c>
      <c r="C107" t="s">
        <v>155</v>
      </c>
      <c r="D107" t="s">
        <v>226</v>
      </c>
      <c r="E107">
        <v>6</v>
      </c>
      <c r="F107" s="3">
        <v>71291.740000000005</v>
      </c>
      <c r="G107" s="3">
        <v>0</v>
      </c>
      <c r="H107" s="3">
        <v>71291.740000000005</v>
      </c>
      <c r="I107">
        <v>40</v>
      </c>
      <c r="J107" s="4">
        <v>1</v>
      </c>
      <c r="K107" s="3">
        <v>34.274875000000002</v>
      </c>
    </row>
    <row r="108" spans="1:11" x14ac:dyDescent="0.45">
      <c r="A108" t="s">
        <v>227</v>
      </c>
      <c r="B108" s="2" t="s">
        <v>12</v>
      </c>
      <c r="C108" t="s">
        <v>155</v>
      </c>
      <c r="D108" t="s">
        <v>228</v>
      </c>
      <c r="E108">
        <v>1</v>
      </c>
      <c r="F108" s="3">
        <v>78887.899999999994</v>
      </c>
      <c r="G108" s="3">
        <v>6300.74</v>
      </c>
      <c r="H108" s="3">
        <v>85188.64</v>
      </c>
      <c r="I108">
        <v>40</v>
      </c>
      <c r="J108" s="4">
        <v>1</v>
      </c>
      <c r="K108" s="3">
        <v>40.956076923076921</v>
      </c>
    </row>
    <row r="109" spans="1:11" x14ac:dyDescent="0.45">
      <c r="A109" t="s">
        <v>229</v>
      </c>
      <c r="B109" s="2" t="s">
        <v>12</v>
      </c>
      <c r="C109" t="s">
        <v>155</v>
      </c>
      <c r="D109" t="s">
        <v>230</v>
      </c>
      <c r="E109">
        <v>14</v>
      </c>
      <c r="F109" s="3">
        <v>64789.81</v>
      </c>
      <c r="G109" s="3">
        <v>0</v>
      </c>
      <c r="H109" s="3">
        <v>64789.81</v>
      </c>
      <c r="I109">
        <v>40</v>
      </c>
      <c r="J109" s="4">
        <v>1</v>
      </c>
      <c r="K109" s="3">
        <v>31.148947115384608</v>
      </c>
    </row>
    <row r="110" spans="1:11" x14ac:dyDescent="0.45">
      <c r="A110" t="s">
        <v>231</v>
      </c>
      <c r="B110" s="2" t="s">
        <v>12</v>
      </c>
      <c r="C110" t="s">
        <v>155</v>
      </c>
      <c r="D110" t="s">
        <v>232</v>
      </c>
      <c r="E110">
        <v>13</v>
      </c>
      <c r="F110" s="3">
        <v>82869.100000000006</v>
      </c>
      <c r="G110" s="3">
        <v>9295.11</v>
      </c>
      <c r="H110" s="3">
        <v>92164.21</v>
      </c>
      <c r="I110">
        <v>40</v>
      </c>
      <c r="J110" s="4">
        <v>1</v>
      </c>
      <c r="K110" s="3">
        <v>44.309716346153849</v>
      </c>
    </row>
    <row r="111" spans="1:11" x14ac:dyDescent="0.45">
      <c r="A111" t="s">
        <v>233</v>
      </c>
      <c r="B111" s="2" t="s">
        <v>12</v>
      </c>
      <c r="C111" t="s">
        <v>155</v>
      </c>
      <c r="D111" t="s">
        <v>234</v>
      </c>
      <c r="E111">
        <v>12</v>
      </c>
      <c r="F111" s="3">
        <v>68124.789999999994</v>
      </c>
      <c r="G111" s="3">
        <v>0</v>
      </c>
      <c r="H111" s="3">
        <v>68124.789999999994</v>
      </c>
      <c r="I111">
        <v>40</v>
      </c>
      <c r="J111" s="4">
        <v>1</v>
      </c>
      <c r="K111" s="3">
        <v>32.752302884615382</v>
      </c>
    </row>
    <row r="112" spans="1:11" x14ac:dyDescent="0.45">
      <c r="A112" t="s">
        <v>235</v>
      </c>
      <c r="B112" s="2" t="s">
        <v>12</v>
      </c>
      <c r="C112" t="s">
        <v>155</v>
      </c>
      <c r="D112" t="s">
        <v>236</v>
      </c>
      <c r="E112">
        <v>3</v>
      </c>
      <c r="F112" s="3">
        <v>72742.19</v>
      </c>
      <c r="G112" s="3">
        <v>11139.98</v>
      </c>
      <c r="H112" s="3">
        <v>83882.17</v>
      </c>
      <c r="I112">
        <v>40</v>
      </c>
      <c r="J112" s="4">
        <v>1</v>
      </c>
      <c r="K112" s="3">
        <v>40.327966346153843</v>
      </c>
    </row>
    <row r="113" spans="1:11" x14ac:dyDescent="0.45">
      <c r="A113" t="s">
        <v>237</v>
      </c>
      <c r="B113" s="2" t="s">
        <v>12</v>
      </c>
      <c r="C113" t="s">
        <v>155</v>
      </c>
      <c r="D113" t="s">
        <v>238</v>
      </c>
      <c r="E113">
        <v>12</v>
      </c>
      <c r="F113" s="3">
        <v>81264.460000000006</v>
      </c>
      <c r="G113" s="3">
        <v>13865.06</v>
      </c>
      <c r="H113" s="3">
        <v>95129.52</v>
      </c>
      <c r="I113">
        <v>40</v>
      </c>
      <c r="J113" s="4">
        <v>1</v>
      </c>
      <c r="K113" s="3">
        <v>45.735346153846159</v>
      </c>
    </row>
    <row r="114" spans="1:11" x14ac:dyDescent="0.45">
      <c r="A114" t="s">
        <v>239</v>
      </c>
      <c r="B114" s="2" t="s">
        <v>12</v>
      </c>
      <c r="C114" t="s">
        <v>155</v>
      </c>
      <c r="D114" t="s">
        <v>240</v>
      </c>
      <c r="E114">
        <v>3</v>
      </c>
      <c r="F114" s="3">
        <v>74202.37</v>
      </c>
      <c r="G114" s="3">
        <v>0</v>
      </c>
      <c r="H114" s="3">
        <v>74202.37</v>
      </c>
      <c r="I114">
        <v>40</v>
      </c>
      <c r="J114" s="4">
        <v>1</v>
      </c>
      <c r="K114" s="3">
        <v>35.674216346153841</v>
      </c>
    </row>
    <row r="115" spans="1:11" x14ac:dyDescent="0.45">
      <c r="A115" t="s">
        <v>241</v>
      </c>
      <c r="B115" s="2" t="s">
        <v>12</v>
      </c>
      <c r="C115" t="s">
        <v>155</v>
      </c>
      <c r="D115" t="s">
        <v>242</v>
      </c>
      <c r="E115">
        <v>12</v>
      </c>
      <c r="F115" s="3">
        <v>74020.39</v>
      </c>
      <c r="G115" s="3">
        <v>0</v>
      </c>
      <c r="H115" s="3">
        <v>74020.39</v>
      </c>
      <c r="I115">
        <v>40</v>
      </c>
      <c r="J115" s="4">
        <v>1</v>
      </c>
      <c r="K115" s="3">
        <v>35.586725961538463</v>
      </c>
    </row>
    <row r="116" spans="1:11" x14ac:dyDescent="0.45">
      <c r="A116" t="s">
        <v>243</v>
      </c>
      <c r="B116" s="2" t="s">
        <v>12</v>
      </c>
      <c r="C116" t="s">
        <v>155</v>
      </c>
      <c r="D116" t="s">
        <v>244</v>
      </c>
      <c r="E116">
        <v>10</v>
      </c>
      <c r="F116" s="3">
        <v>85977.58</v>
      </c>
      <c r="G116" s="3">
        <v>0</v>
      </c>
      <c r="H116" s="3">
        <v>85977.58</v>
      </c>
      <c r="I116">
        <v>40</v>
      </c>
      <c r="J116" s="4">
        <v>1</v>
      </c>
      <c r="K116" s="3">
        <v>41.335374999999999</v>
      </c>
    </row>
    <row r="117" spans="1:11" x14ac:dyDescent="0.45">
      <c r="A117" t="s">
        <v>245</v>
      </c>
      <c r="B117" s="2" t="s">
        <v>12</v>
      </c>
      <c r="C117" t="s">
        <v>155</v>
      </c>
      <c r="D117" t="s">
        <v>246</v>
      </c>
      <c r="E117">
        <v>12</v>
      </c>
      <c r="F117" s="3">
        <v>77534.679999999993</v>
      </c>
      <c r="G117" s="3">
        <v>0</v>
      </c>
      <c r="H117" s="3">
        <v>77534.679999999993</v>
      </c>
      <c r="I117">
        <v>40</v>
      </c>
      <c r="J117" s="4">
        <v>1</v>
      </c>
      <c r="K117" s="3">
        <v>37.276288461538464</v>
      </c>
    </row>
    <row r="118" spans="1:11" x14ac:dyDescent="0.45">
      <c r="A118" t="s">
        <v>247</v>
      </c>
      <c r="B118" s="2" t="s">
        <v>12</v>
      </c>
      <c r="C118" t="s">
        <v>155</v>
      </c>
      <c r="D118" t="s">
        <v>248</v>
      </c>
      <c r="E118">
        <v>11</v>
      </c>
      <c r="F118" s="3">
        <v>73351.67</v>
      </c>
      <c r="G118" s="3">
        <v>0</v>
      </c>
      <c r="H118" s="3">
        <v>73351.67</v>
      </c>
      <c r="I118">
        <v>40</v>
      </c>
      <c r="J118" s="4">
        <v>1</v>
      </c>
      <c r="K118" s="3">
        <v>35.265225961538462</v>
      </c>
    </row>
    <row r="119" spans="1:11" x14ac:dyDescent="0.45">
      <c r="A119" t="s">
        <v>249</v>
      </c>
      <c r="B119" s="2" t="s">
        <v>12</v>
      </c>
      <c r="C119" t="s">
        <v>155</v>
      </c>
      <c r="D119" t="s">
        <v>250</v>
      </c>
      <c r="E119">
        <v>11</v>
      </c>
      <c r="F119" s="3">
        <v>83937.18</v>
      </c>
      <c r="G119" s="3">
        <v>0</v>
      </c>
      <c r="H119" s="3">
        <v>83937.18</v>
      </c>
      <c r="I119">
        <v>40</v>
      </c>
      <c r="J119" s="4">
        <v>1</v>
      </c>
      <c r="K119" s="3">
        <v>40.354413461538464</v>
      </c>
    </row>
    <row r="120" spans="1:11" x14ac:dyDescent="0.45">
      <c r="A120" t="s">
        <v>251</v>
      </c>
      <c r="B120" s="2" t="s">
        <v>12</v>
      </c>
      <c r="C120" t="s">
        <v>155</v>
      </c>
      <c r="D120" t="s">
        <v>252</v>
      </c>
      <c r="E120">
        <v>7</v>
      </c>
      <c r="F120" s="3">
        <v>73876.570000000007</v>
      </c>
      <c r="G120" s="3">
        <v>0</v>
      </c>
      <c r="H120" s="3">
        <v>73876.570000000007</v>
      </c>
      <c r="I120">
        <v>40</v>
      </c>
      <c r="J120" s="4">
        <v>1</v>
      </c>
      <c r="K120" s="3">
        <v>35.517581730769237</v>
      </c>
    </row>
    <row r="121" spans="1:11" x14ac:dyDescent="0.45">
      <c r="A121" t="s">
        <v>253</v>
      </c>
      <c r="B121" s="2" t="s">
        <v>12</v>
      </c>
      <c r="C121" t="s">
        <v>155</v>
      </c>
      <c r="D121" t="s">
        <v>254</v>
      </c>
      <c r="E121">
        <v>6</v>
      </c>
      <c r="F121" s="3">
        <v>80980.81</v>
      </c>
      <c r="G121" s="3">
        <v>0</v>
      </c>
      <c r="H121" s="3">
        <v>80980.81</v>
      </c>
      <c r="I121">
        <v>40</v>
      </c>
      <c r="J121" s="4">
        <v>1</v>
      </c>
      <c r="K121" s="3">
        <v>38.933081730769231</v>
      </c>
    </row>
    <row r="122" spans="1:11" x14ac:dyDescent="0.45">
      <c r="A122" t="s">
        <v>255</v>
      </c>
      <c r="B122" s="2" t="s">
        <v>12</v>
      </c>
      <c r="C122" t="s">
        <v>155</v>
      </c>
      <c r="D122" t="s">
        <v>256</v>
      </c>
      <c r="E122">
        <v>7</v>
      </c>
      <c r="F122" s="3">
        <v>69928.44</v>
      </c>
      <c r="G122" s="3">
        <v>6493.5</v>
      </c>
      <c r="H122" s="3">
        <v>76421.94</v>
      </c>
      <c r="I122">
        <v>40</v>
      </c>
      <c r="J122" s="4">
        <v>1</v>
      </c>
      <c r="K122" s="3">
        <v>36.741317307692313</v>
      </c>
    </row>
    <row r="123" spans="1:11" x14ac:dyDescent="0.45">
      <c r="A123" t="s">
        <v>257</v>
      </c>
      <c r="B123" s="2" t="s">
        <v>12</v>
      </c>
      <c r="C123" t="s">
        <v>155</v>
      </c>
      <c r="D123" t="s">
        <v>258</v>
      </c>
      <c r="E123">
        <v>2</v>
      </c>
      <c r="F123" s="3">
        <v>71306.570000000007</v>
      </c>
      <c r="G123" s="3">
        <v>0</v>
      </c>
      <c r="H123" s="3">
        <v>71306.570000000007</v>
      </c>
      <c r="I123">
        <v>40</v>
      </c>
      <c r="J123" s="4">
        <v>1</v>
      </c>
      <c r="K123" s="3">
        <v>34.28200480769231</v>
      </c>
    </row>
    <row r="124" spans="1:11" x14ac:dyDescent="0.45">
      <c r="A124" t="s">
        <v>259</v>
      </c>
      <c r="B124" s="2" t="s">
        <v>12</v>
      </c>
      <c r="C124" t="s">
        <v>155</v>
      </c>
      <c r="D124" t="s">
        <v>260</v>
      </c>
      <c r="E124">
        <v>5</v>
      </c>
      <c r="F124" s="3">
        <v>66863.42</v>
      </c>
      <c r="G124" s="3">
        <v>10303.15</v>
      </c>
      <c r="H124" s="3">
        <v>77166.569999999992</v>
      </c>
      <c r="I124">
        <v>40</v>
      </c>
      <c r="J124" s="4">
        <v>1</v>
      </c>
      <c r="K124" s="3">
        <v>37.099312500000003</v>
      </c>
    </row>
    <row r="125" spans="1:11" x14ac:dyDescent="0.45">
      <c r="A125" t="s">
        <v>261</v>
      </c>
      <c r="B125" s="2" t="s">
        <v>12</v>
      </c>
      <c r="C125" t="s">
        <v>155</v>
      </c>
      <c r="D125" t="s">
        <v>262</v>
      </c>
      <c r="E125">
        <v>13</v>
      </c>
      <c r="F125" s="3">
        <v>65195.15</v>
      </c>
      <c r="G125" s="3">
        <v>0</v>
      </c>
      <c r="H125" s="3">
        <v>65195.15</v>
      </c>
      <c r="I125">
        <v>40</v>
      </c>
      <c r="J125" s="4">
        <v>1</v>
      </c>
      <c r="K125" s="3">
        <v>31.343822115384611</v>
      </c>
    </row>
    <row r="126" spans="1:11" x14ac:dyDescent="0.45">
      <c r="A126" t="s">
        <v>263</v>
      </c>
      <c r="B126" s="2" t="s">
        <v>12</v>
      </c>
      <c r="C126" t="s">
        <v>155</v>
      </c>
      <c r="D126" t="s">
        <v>264</v>
      </c>
      <c r="E126">
        <v>9</v>
      </c>
      <c r="F126" s="3">
        <v>74233.3</v>
      </c>
      <c r="G126" s="3">
        <v>12985.9</v>
      </c>
      <c r="H126" s="3">
        <v>87219.199999999997</v>
      </c>
      <c r="I126">
        <v>40</v>
      </c>
      <c r="J126" s="4">
        <v>1</v>
      </c>
      <c r="K126" s="3">
        <v>41.932307692307688</v>
      </c>
    </row>
    <row r="127" spans="1:11" x14ac:dyDescent="0.45">
      <c r="A127" t="s">
        <v>265</v>
      </c>
      <c r="B127" s="2" t="s">
        <v>12</v>
      </c>
      <c r="C127" t="s">
        <v>155</v>
      </c>
      <c r="D127" t="s">
        <v>266</v>
      </c>
      <c r="E127">
        <v>1</v>
      </c>
      <c r="F127" s="3">
        <v>84108.87</v>
      </c>
      <c r="G127" s="3">
        <v>0</v>
      </c>
      <c r="H127" s="3">
        <v>84108.87</v>
      </c>
      <c r="I127">
        <v>40</v>
      </c>
      <c r="J127" s="4">
        <v>1</v>
      </c>
      <c r="K127" s="3">
        <v>40.436956730769232</v>
      </c>
    </row>
    <row r="128" spans="1:11" x14ac:dyDescent="0.45">
      <c r="A128" t="s">
        <v>267</v>
      </c>
      <c r="B128" s="2" t="s">
        <v>12</v>
      </c>
      <c r="C128" t="s">
        <v>155</v>
      </c>
      <c r="D128" t="s">
        <v>268</v>
      </c>
      <c r="E128">
        <v>9</v>
      </c>
      <c r="F128" s="3">
        <v>83026.47</v>
      </c>
      <c r="G128" s="3">
        <v>0</v>
      </c>
      <c r="H128" s="3">
        <v>83026.47</v>
      </c>
      <c r="I128">
        <v>40</v>
      </c>
      <c r="J128" s="4">
        <v>1</v>
      </c>
      <c r="K128" s="3">
        <v>39.916572115384618</v>
      </c>
    </row>
    <row r="129" spans="1:11" x14ac:dyDescent="0.45">
      <c r="A129" t="s">
        <v>269</v>
      </c>
      <c r="B129" s="2" t="s">
        <v>12</v>
      </c>
      <c r="C129" t="s">
        <v>155</v>
      </c>
      <c r="D129" t="s">
        <v>270</v>
      </c>
      <c r="E129">
        <v>7</v>
      </c>
      <c r="F129" s="3">
        <v>74482.039999999994</v>
      </c>
      <c r="G129" s="3">
        <v>0</v>
      </c>
      <c r="H129" s="3">
        <v>74482.039999999994</v>
      </c>
      <c r="I129">
        <v>40</v>
      </c>
      <c r="J129" s="4">
        <v>1</v>
      </c>
      <c r="K129" s="3">
        <v>35.808673076923071</v>
      </c>
    </row>
    <row r="130" spans="1:11" x14ac:dyDescent="0.45">
      <c r="A130" t="s">
        <v>271</v>
      </c>
      <c r="B130" s="2" t="s">
        <v>12</v>
      </c>
      <c r="C130" t="s">
        <v>155</v>
      </c>
      <c r="D130" t="s">
        <v>272</v>
      </c>
      <c r="E130">
        <v>10</v>
      </c>
      <c r="F130" s="3">
        <v>80703.19</v>
      </c>
      <c r="G130" s="3">
        <v>0</v>
      </c>
      <c r="H130" s="3">
        <v>80703.19</v>
      </c>
      <c r="I130">
        <v>40</v>
      </c>
      <c r="J130" s="4">
        <v>1</v>
      </c>
      <c r="K130" s="3">
        <v>38.799610576923079</v>
      </c>
    </row>
    <row r="131" spans="1:11" x14ac:dyDescent="0.45">
      <c r="A131" t="s">
        <v>273</v>
      </c>
      <c r="B131" s="2" t="s">
        <v>12</v>
      </c>
      <c r="C131" t="s">
        <v>155</v>
      </c>
      <c r="D131" t="s">
        <v>274</v>
      </c>
      <c r="E131">
        <v>14</v>
      </c>
      <c r="F131" s="3">
        <v>75859.960000000006</v>
      </c>
      <c r="G131" s="3">
        <v>0</v>
      </c>
      <c r="H131" s="3">
        <v>75859.960000000006</v>
      </c>
      <c r="I131">
        <v>40</v>
      </c>
      <c r="J131" s="4">
        <v>1</v>
      </c>
      <c r="K131" s="3">
        <v>36.471134615384621</v>
      </c>
    </row>
    <row r="132" spans="1:11" x14ac:dyDescent="0.45">
      <c r="A132" t="s">
        <v>275</v>
      </c>
      <c r="B132" s="5" t="s">
        <v>34</v>
      </c>
      <c r="C132" t="s">
        <v>155</v>
      </c>
      <c r="D132" t="s">
        <v>276</v>
      </c>
      <c r="E132">
        <v>7</v>
      </c>
      <c r="F132" s="3">
        <v>76115.350000000006</v>
      </c>
      <c r="G132" s="3">
        <v>0</v>
      </c>
      <c r="H132" s="3">
        <v>76115.350000000006</v>
      </c>
      <c r="I132">
        <v>30</v>
      </c>
      <c r="J132" s="4">
        <v>0.75</v>
      </c>
      <c r="K132" s="3">
        <v>48.791891025641029</v>
      </c>
    </row>
    <row r="133" spans="1:11" x14ac:dyDescent="0.45">
      <c r="A133" t="s">
        <v>277</v>
      </c>
      <c r="B133" s="5" t="s">
        <v>34</v>
      </c>
      <c r="C133" t="s">
        <v>155</v>
      </c>
      <c r="D133" t="s">
        <v>278</v>
      </c>
      <c r="E133">
        <v>10</v>
      </c>
      <c r="F133" s="3">
        <v>58392.11</v>
      </c>
      <c r="G133" s="3">
        <v>8868.08</v>
      </c>
      <c r="H133" s="3">
        <v>67260.19</v>
      </c>
      <c r="I133">
        <v>40</v>
      </c>
      <c r="J133" s="4">
        <v>0.75</v>
      </c>
      <c r="K133" s="3">
        <v>32.336629807692312</v>
      </c>
    </row>
    <row r="134" spans="1:11" x14ac:dyDescent="0.45">
      <c r="A134" t="s">
        <v>279</v>
      </c>
      <c r="B134" s="5" t="s">
        <v>34</v>
      </c>
      <c r="C134" t="s">
        <v>155</v>
      </c>
      <c r="D134" t="s">
        <v>280</v>
      </c>
      <c r="E134">
        <v>12</v>
      </c>
      <c r="F134" s="3">
        <v>76558.649999999994</v>
      </c>
      <c r="G134" s="3">
        <v>0</v>
      </c>
      <c r="H134" s="3">
        <v>76558.649999999994</v>
      </c>
      <c r="I134">
        <v>40</v>
      </c>
      <c r="J134" s="4">
        <v>0.75</v>
      </c>
      <c r="K134" s="3">
        <v>36.807043269230768</v>
      </c>
    </row>
    <row r="135" spans="1:11" x14ac:dyDescent="0.45">
      <c r="A135" t="s">
        <v>281</v>
      </c>
      <c r="B135" s="5" t="s">
        <v>34</v>
      </c>
      <c r="C135" t="s">
        <v>155</v>
      </c>
      <c r="D135" t="s">
        <v>282</v>
      </c>
      <c r="E135">
        <v>2</v>
      </c>
      <c r="F135" s="3">
        <v>69874.61</v>
      </c>
      <c r="G135" s="3">
        <v>0</v>
      </c>
      <c r="H135" s="3">
        <v>69874.61</v>
      </c>
      <c r="I135">
        <v>30</v>
      </c>
      <c r="J135" s="4">
        <v>1</v>
      </c>
      <c r="K135" s="3">
        <v>44.79141666666667</v>
      </c>
    </row>
    <row r="136" spans="1:11" x14ac:dyDescent="0.45">
      <c r="A136" t="s">
        <v>283</v>
      </c>
      <c r="B136" s="5" t="s">
        <v>34</v>
      </c>
      <c r="C136" t="s">
        <v>155</v>
      </c>
      <c r="D136" t="s">
        <v>284</v>
      </c>
      <c r="E136">
        <v>8</v>
      </c>
      <c r="F136" s="3">
        <v>75483.77</v>
      </c>
      <c r="G136" s="3">
        <v>6719.83</v>
      </c>
      <c r="H136" s="3">
        <v>82203.600000000006</v>
      </c>
      <c r="I136">
        <v>40</v>
      </c>
      <c r="J136" s="4">
        <v>0.75</v>
      </c>
      <c r="K136" s="3">
        <v>39.520961538461542</v>
      </c>
    </row>
    <row r="137" spans="1:11" x14ac:dyDescent="0.45">
      <c r="A137" t="s">
        <v>285</v>
      </c>
      <c r="B137" s="5" t="s">
        <v>34</v>
      </c>
      <c r="C137" t="s">
        <v>155</v>
      </c>
      <c r="D137" t="s">
        <v>212</v>
      </c>
      <c r="E137">
        <v>9</v>
      </c>
      <c r="F137" s="3">
        <v>64467.65</v>
      </c>
      <c r="G137" s="3">
        <v>0</v>
      </c>
      <c r="H137" s="3">
        <v>64467.65</v>
      </c>
      <c r="I137">
        <v>40</v>
      </c>
      <c r="J137" s="4">
        <v>0.75</v>
      </c>
      <c r="K137" s="3">
        <v>30.994062499999998</v>
      </c>
    </row>
    <row r="138" spans="1:11" x14ac:dyDescent="0.45">
      <c r="A138" t="s">
        <v>286</v>
      </c>
      <c r="B138" s="5" t="s">
        <v>34</v>
      </c>
      <c r="C138" t="s">
        <v>155</v>
      </c>
      <c r="D138" t="s">
        <v>287</v>
      </c>
      <c r="E138">
        <v>13</v>
      </c>
      <c r="F138" s="3">
        <v>62946.34</v>
      </c>
      <c r="G138" s="3">
        <v>3330.33</v>
      </c>
      <c r="H138" s="3">
        <v>66276.67</v>
      </c>
      <c r="I138">
        <v>40</v>
      </c>
      <c r="J138" s="4">
        <v>1</v>
      </c>
      <c r="K138" s="3">
        <v>31.863783653846149</v>
      </c>
    </row>
    <row r="139" spans="1:11" x14ac:dyDescent="0.45">
      <c r="A139" t="s">
        <v>288</v>
      </c>
      <c r="B139" s="5" t="s">
        <v>34</v>
      </c>
      <c r="C139" t="s">
        <v>155</v>
      </c>
      <c r="D139" t="s">
        <v>289</v>
      </c>
      <c r="E139">
        <v>1</v>
      </c>
      <c r="F139" s="3">
        <v>62374.13</v>
      </c>
      <c r="G139" s="3">
        <v>12075.18</v>
      </c>
      <c r="H139" s="3">
        <v>74449.31</v>
      </c>
      <c r="I139">
        <v>40</v>
      </c>
      <c r="J139" s="4">
        <v>1</v>
      </c>
      <c r="K139" s="3">
        <v>35.792937500000001</v>
      </c>
    </row>
    <row r="140" spans="1:11" x14ac:dyDescent="0.45">
      <c r="A140" t="s">
        <v>290</v>
      </c>
      <c r="B140" s="5" t="s">
        <v>34</v>
      </c>
      <c r="C140" t="s">
        <v>155</v>
      </c>
      <c r="D140" t="s">
        <v>291</v>
      </c>
      <c r="E140">
        <v>3</v>
      </c>
      <c r="F140" s="3">
        <v>61866.96</v>
      </c>
      <c r="G140" s="3">
        <v>4507.46</v>
      </c>
      <c r="H140" s="3">
        <v>66374.42</v>
      </c>
      <c r="I140">
        <v>30</v>
      </c>
      <c r="J140" s="4">
        <v>1</v>
      </c>
      <c r="K140" s="3">
        <v>42.547705128205131</v>
      </c>
    </row>
    <row r="141" spans="1:11" x14ac:dyDescent="0.45">
      <c r="A141" t="s">
        <v>292</v>
      </c>
      <c r="B141" s="5" t="s">
        <v>34</v>
      </c>
      <c r="C141" t="s">
        <v>155</v>
      </c>
      <c r="D141" t="s">
        <v>293</v>
      </c>
      <c r="E141">
        <v>9</v>
      </c>
      <c r="F141" s="3">
        <v>69304.98</v>
      </c>
      <c r="G141" s="3">
        <v>10736.71</v>
      </c>
      <c r="H141" s="3">
        <v>80041.69</v>
      </c>
      <c r="I141">
        <v>40</v>
      </c>
      <c r="J141" s="4">
        <v>0.5</v>
      </c>
      <c r="K141" s="3">
        <v>38.481581730769228</v>
      </c>
    </row>
    <row r="142" spans="1:11" x14ac:dyDescent="0.45">
      <c r="A142" t="s">
        <v>294</v>
      </c>
      <c r="B142" s="5" t="s">
        <v>34</v>
      </c>
      <c r="C142" t="s">
        <v>155</v>
      </c>
      <c r="D142" t="s">
        <v>295</v>
      </c>
      <c r="E142">
        <v>3</v>
      </c>
      <c r="F142" s="3">
        <v>70187.850000000006</v>
      </c>
      <c r="G142" s="3">
        <v>0</v>
      </c>
      <c r="H142" s="3">
        <v>70187.850000000006</v>
      </c>
      <c r="I142">
        <v>40</v>
      </c>
      <c r="J142" s="4">
        <v>1</v>
      </c>
      <c r="K142" s="3">
        <v>33.744158653846164</v>
      </c>
    </row>
    <row r="143" spans="1:11" x14ac:dyDescent="0.45">
      <c r="A143" t="s">
        <v>296</v>
      </c>
      <c r="B143" s="5" t="s">
        <v>34</v>
      </c>
      <c r="C143" t="s">
        <v>155</v>
      </c>
      <c r="D143" t="s">
        <v>297</v>
      </c>
      <c r="E143">
        <v>9</v>
      </c>
      <c r="F143" s="3">
        <v>60005.21</v>
      </c>
      <c r="G143" s="3">
        <v>5808.12</v>
      </c>
      <c r="H143" s="3">
        <v>65813.33</v>
      </c>
      <c r="I143">
        <v>30</v>
      </c>
      <c r="J143" s="4">
        <v>1</v>
      </c>
      <c r="K143" s="3">
        <v>42.18803205128205</v>
      </c>
    </row>
    <row r="144" spans="1:11" x14ac:dyDescent="0.45">
      <c r="A144" t="s">
        <v>298</v>
      </c>
      <c r="B144" s="5" t="s">
        <v>34</v>
      </c>
      <c r="C144" t="s">
        <v>155</v>
      </c>
      <c r="D144" t="s">
        <v>299</v>
      </c>
      <c r="E144">
        <v>6</v>
      </c>
      <c r="F144" s="3">
        <v>59350.33</v>
      </c>
      <c r="G144" s="3">
        <v>0</v>
      </c>
      <c r="H144" s="3">
        <v>59350.33</v>
      </c>
      <c r="I144">
        <v>40</v>
      </c>
      <c r="J144" s="4">
        <v>1</v>
      </c>
      <c r="K144" s="3">
        <v>28.5338125</v>
      </c>
    </row>
    <row r="145" spans="1:11" x14ac:dyDescent="0.45">
      <c r="A145" t="s">
        <v>300</v>
      </c>
      <c r="B145" s="5" t="s">
        <v>34</v>
      </c>
      <c r="C145" t="s">
        <v>155</v>
      </c>
      <c r="D145" t="s">
        <v>301</v>
      </c>
      <c r="E145">
        <v>3</v>
      </c>
      <c r="F145" s="3">
        <v>75145.98</v>
      </c>
      <c r="G145" s="3">
        <v>0</v>
      </c>
      <c r="H145" s="3">
        <v>75145.98</v>
      </c>
      <c r="I145">
        <v>20</v>
      </c>
      <c r="J145" s="4">
        <v>1</v>
      </c>
      <c r="K145" s="3">
        <v>72.255749999999992</v>
      </c>
    </row>
    <row r="146" spans="1:11" x14ac:dyDescent="0.45">
      <c r="A146" t="s">
        <v>302</v>
      </c>
      <c r="B146" s="5" t="s">
        <v>34</v>
      </c>
      <c r="C146" t="s">
        <v>155</v>
      </c>
      <c r="D146" t="s">
        <v>303</v>
      </c>
      <c r="E146">
        <v>9</v>
      </c>
      <c r="F146" s="3">
        <v>64882.96</v>
      </c>
      <c r="G146" s="3">
        <v>0</v>
      </c>
      <c r="H146" s="3">
        <v>64882.96</v>
      </c>
      <c r="I146">
        <v>40</v>
      </c>
      <c r="J146" s="4">
        <v>0.5</v>
      </c>
      <c r="K146" s="3">
        <v>31.193730769230768</v>
      </c>
    </row>
    <row r="147" spans="1:11" x14ac:dyDescent="0.45">
      <c r="A147" t="s">
        <v>304</v>
      </c>
      <c r="B147" s="5" t="s">
        <v>34</v>
      </c>
      <c r="C147" t="s">
        <v>155</v>
      </c>
      <c r="D147" t="s">
        <v>305</v>
      </c>
      <c r="E147">
        <v>12</v>
      </c>
      <c r="F147" s="3">
        <v>71009.88</v>
      </c>
      <c r="G147" s="3">
        <v>8024.74</v>
      </c>
      <c r="H147" s="3">
        <v>79034.62000000001</v>
      </c>
      <c r="I147">
        <v>40</v>
      </c>
      <c r="J147" s="4">
        <v>0.75</v>
      </c>
      <c r="K147" s="3">
        <v>37.997413461538457</v>
      </c>
    </row>
    <row r="148" spans="1:11" x14ac:dyDescent="0.45">
      <c r="A148" t="s">
        <v>306</v>
      </c>
      <c r="B148" s="5" t="s">
        <v>34</v>
      </c>
      <c r="C148" t="s">
        <v>155</v>
      </c>
      <c r="D148" t="s">
        <v>307</v>
      </c>
      <c r="E148">
        <v>11</v>
      </c>
      <c r="F148" s="3">
        <v>77400.070000000007</v>
      </c>
      <c r="G148" s="3">
        <v>0</v>
      </c>
      <c r="H148" s="3">
        <v>77400.070000000007</v>
      </c>
      <c r="I148">
        <v>40</v>
      </c>
      <c r="J148" s="4">
        <v>0.75</v>
      </c>
      <c r="K148" s="3">
        <v>37.21157211538462</v>
      </c>
    </row>
    <row r="149" spans="1:11" x14ac:dyDescent="0.45">
      <c r="A149" t="s">
        <v>308</v>
      </c>
      <c r="B149" s="5" t="s">
        <v>34</v>
      </c>
      <c r="C149" t="s">
        <v>155</v>
      </c>
      <c r="D149" t="s">
        <v>309</v>
      </c>
      <c r="E149">
        <v>7</v>
      </c>
      <c r="F149" s="3">
        <v>61393.19</v>
      </c>
      <c r="G149" s="3">
        <v>0</v>
      </c>
      <c r="H149" s="3">
        <v>61393.19</v>
      </c>
      <c r="I149">
        <v>20</v>
      </c>
      <c r="J149" s="4">
        <v>0.5</v>
      </c>
      <c r="K149" s="3">
        <v>59.031913461538473</v>
      </c>
    </row>
    <row r="150" spans="1:11" x14ac:dyDescent="0.45">
      <c r="A150" t="s">
        <v>310</v>
      </c>
      <c r="B150" s="5" t="s">
        <v>34</v>
      </c>
      <c r="C150" t="s">
        <v>155</v>
      </c>
      <c r="D150" t="s">
        <v>311</v>
      </c>
      <c r="E150">
        <v>14</v>
      </c>
      <c r="F150" s="3">
        <v>73602.69</v>
      </c>
      <c r="G150" s="3">
        <v>0</v>
      </c>
      <c r="H150" s="3">
        <v>73602.69</v>
      </c>
      <c r="I150">
        <v>40</v>
      </c>
      <c r="J150" s="4">
        <v>1</v>
      </c>
      <c r="K150" s="3">
        <v>35.385908653846158</v>
      </c>
    </row>
    <row r="151" spans="1:11" x14ac:dyDescent="0.45">
      <c r="A151" t="s">
        <v>312</v>
      </c>
      <c r="B151" s="5" t="s">
        <v>34</v>
      </c>
      <c r="C151" t="s">
        <v>155</v>
      </c>
      <c r="D151" t="s">
        <v>313</v>
      </c>
      <c r="E151">
        <v>2</v>
      </c>
      <c r="F151" s="3">
        <v>75174.95</v>
      </c>
      <c r="G151" s="3">
        <v>0</v>
      </c>
      <c r="H151" s="3">
        <v>75174.95</v>
      </c>
      <c r="I151">
        <v>40</v>
      </c>
      <c r="J151" s="4">
        <v>0.75</v>
      </c>
      <c r="K151" s="3">
        <v>36.14180288461538</v>
      </c>
    </row>
    <row r="152" spans="1:11" x14ac:dyDescent="0.45">
      <c r="A152" t="s">
        <v>314</v>
      </c>
      <c r="B152" s="5" t="s">
        <v>34</v>
      </c>
      <c r="C152" t="s">
        <v>155</v>
      </c>
      <c r="D152" t="s">
        <v>315</v>
      </c>
      <c r="E152">
        <v>14</v>
      </c>
      <c r="F152" s="3">
        <v>62774.81</v>
      </c>
      <c r="G152" s="3">
        <v>0</v>
      </c>
      <c r="H152" s="3">
        <v>62774.81</v>
      </c>
      <c r="I152">
        <v>30</v>
      </c>
      <c r="J152" s="4">
        <v>1</v>
      </c>
      <c r="K152" s="3">
        <v>40.240262820512818</v>
      </c>
    </row>
    <row r="153" spans="1:11" x14ac:dyDescent="0.45">
      <c r="A153" t="s">
        <v>316</v>
      </c>
      <c r="B153" s="5" t="s">
        <v>34</v>
      </c>
      <c r="C153" t="s">
        <v>155</v>
      </c>
      <c r="D153" t="s">
        <v>317</v>
      </c>
      <c r="E153">
        <v>5</v>
      </c>
      <c r="F153" s="3">
        <v>58385.48</v>
      </c>
      <c r="G153" s="3">
        <v>0</v>
      </c>
      <c r="H153" s="3">
        <v>58385.48</v>
      </c>
      <c r="I153">
        <v>30</v>
      </c>
      <c r="J153" s="4">
        <v>1</v>
      </c>
      <c r="K153" s="3">
        <v>37.426589743589737</v>
      </c>
    </row>
    <row r="154" spans="1:11" x14ac:dyDescent="0.45">
      <c r="A154" t="s">
        <v>318</v>
      </c>
      <c r="B154" s="5" t="s">
        <v>34</v>
      </c>
      <c r="C154" t="s">
        <v>155</v>
      </c>
      <c r="D154" t="s">
        <v>319</v>
      </c>
      <c r="E154">
        <v>14</v>
      </c>
      <c r="F154" s="3">
        <v>65038.43</v>
      </c>
      <c r="G154" s="3">
        <v>5980.2</v>
      </c>
      <c r="H154" s="3">
        <v>71018.63</v>
      </c>
      <c r="I154">
        <v>40</v>
      </c>
      <c r="J154" s="4">
        <v>0.5</v>
      </c>
      <c r="K154" s="3">
        <v>34.143572115384607</v>
      </c>
    </row>
    <row r="155" spans="1:11" x14ac:dyDescent="0.45">
      <c r="A155" t="s">
        <v>320</v>
      </c>
      <c r="B155" s="5" t="s">
        <v>34</v>
      </c>
      <c r="C155" t="s">
        <v>155</v>
      </c>
      <c r="D155" t="s">
        <v>321</v>
      </c>
      <c r="E155">
        <v>2</v>
      </c>
      <c r="F155" s="3">
        <v>58007.08</v>
      </c>
      <c r="G155" s="3">
        <v>0</v>
      </c>
      <c r="H155" s="3">
        <v>58007.08</v>
      </c>
      <c r="I155">
        <v>40</v>
      </c>
      <c r="J155" s="4">
        <v>0.75</v>
      </c>
      <c r="K155" s="3">
        <v>27.888019230769231</v>
      </c>
    </row>
    <row r="156" spans="1:11" x14ac:dyDescent="0.45">
      <c r="A156" t="s">
        <v>322</v>
      </c>
      <c r="B156" s="5" t="s">
        <v>34</v>
      </c>
      <c r="C156" t="s">
        <v>155</v>
      </c>
      <c r="D156" t="s">
        <v>323</v>
      </c>
      <c r="E156">
        <v>11</v>
      </c>
      <c r="F156" s="3">
        <v>67766.990000000005</v>
      </c>
      <c r="G156" s="3">
        <v>0</v>
      </c>
      <c r="H156" s="3">
        <v>67766.990000000005</v>
      </c>
      <c r="I156">
        <v>30</v>
      </c>
      <c r="J156" s="4">
        <v>0.75</v>
      </c>
      <c r="K156" s="3">
        <v>43.440378205128212</v>
      </c>
    </row>
    <row r="157" spans="1:11" x14ac:dyDescent="0.45">
      <c r="A157" t="s">
        <v>324</v>
      </c>
      <c r="B157" s="5" t="s">
        <v>34</v>
      </c>
      <c r="C157" t="s">
        <v>155</v>
      </c>
      <c r="D157" t="s">
        <v>325</v>
      </c>
      <c r="E157">
        <v>6</v>
      </c>
      <c r="F157" s="3">
        <v>73975.83</v>
      </c>
      <c r="G157" s="3">
        <v>6157.71</v>
      </c>
      <c r="H157" s="3">
        <v>80133.540000000008</v>
      </c>
      <c r="I157">
        <v>40</v>
      </c>
      <c r="J157" s="4">
        <v>0.5</v>
      </c>
      <c r="K157" s="3">
        <v>38.525740384615389</v>
      </c>
    </row>
    <row r="158" spans="1:11" x14ac:dyDescent="0.45">
      <c r="A158" t="s">
        <v>326</v>
      </c>
      <c r="B158" s="5" t="s">
        <v>34</v>
      </c>
      <c r="C158" t="s">
        <v>155</v>
      </c>
      <c r="D158" t="s">
        <v>327</v>
      </c>
      <c r="E158">
        <v>8</v>
      </c>
      <c r="F158" s="3">
        <v>65328.02</v>
      </c>
      <c r="G158" s="3">
        <v>0</v>
      </c>
      <c r="H158" s="3">
        <v>65328.02</v>
      </c>
      <c r="I158">
        <v>30</v>
      </c>
      <c r="J158" s="4">
        <v>0.5</v>
      </c>
      <c r="K158" s="3">
        <v>41.876935897435892</v>
      </c>
    </row>
    <row r="159" spans="1:11" x14ac:dyDescent="0.45">
      <c r="A159" t="s">
        <v>328</v>
      </c>
      <c r="B159" s="5" t="s">
        <v>34</v>
      </c>
      <c r="C159" t="s">
        <v>155</v>
      </c>
      <c r="D159" t="s">
        <v>329</v>
      </c>
      <c r="E159">
        <v>7</v>
      </c>
      <c r="F159" s="3">
        <v>64548.14</v>
      </c>
      <c r="G159" s="3">
        <v>0</v>
      </c>
      <c r="H159" s="3">
        <v>64548.14</v>
      </c>
      <c r="I159">
        <v>40</v>
      </c>
      <c r="J159" s="4">
        <v>1</v>
      </c>
      <c r="K159" s="3">
        <v>31.03275961538462</v>
      </c>
    </row>
    <row r="160" spans="1:11" x14ac:dyDescent="0.45">
      <c r="A160" t="s">
        <v>330</v>
      </c>
      <c r="B160" s="5" t="s">
        <v>34</v>
      </c>
      <c r="C160" t="s">
        <v>155</v>
      </c>
      <c r="D160" t="s">
        <v>331</v>
      </c>
      <c r="E160">
        <v>8</v>
      </c>
      <c r="F160" s="3">
        <v>62502.98</v>
      </c>
      <c r="G160" s="3">
        <v>0</v>
      </c>
      <c r="H160" s="3">
        <v>62502.98</v>
      </c>
      <c r="I160">
        <v>40</v>
      </c>
      <c r="J160" s="4">
        <v>0.5</v>
      </c>
      <c r="K160" s="3">
        <v>30.049509615384618</v>
      </c>
    </row>
    <row r="161" spans="1:11" x14ac:dyDescent="0.45">
      <c r="A161" t="s">
        <v>332</v>
      </c>
      <c r="B161" s="5" t="s">
        <v>34</v>
      </c>
      <c r="C161" t="s">
        <v>155</v>
      </c>
      <c r="D161" t="s">
        <v>333</v>
      </c>
      <c r="E161">
        <v>5</v>
      </c>
      <c r="F161" s="3">
        <v>77197.899999999994</v>
      </c>
      <c r="G161" s="3">
        <v>0</v>
      </c>
      <c r="H161" s="3">
        <v>77197.899999999994</v>
      </c>
      <c r="I161">
        <v>40</v>
      </c>
      <c r="J161" s="4">
        <v>0.75</v>
      </c>
      <c r="K161" s="3">
        <v>37.114375000000003</v>
      </c>
    </row>
    <row r="162" spans="1:11" x14ac:dyDescent="0.45">
      <c r="A162" t="s">
        <v>334</v>
      </c>
      <c r="B162" s="5" t="s">
        <v>34</v>
      </c>
      <c r="C162" t="s">
        <v>155</v>
      </c>
      <c r="D162" t="s">
        <v>335</v>
      </c>
      <c r="E162">
        <v>12</v>
      </c>
      <c r="F162" s="3">
        <v>63440.59</v>
      </c>
      <c r="G162" s="3">
        <v>0</v>
      </c>
      <c r="H162" s="3">
        <v>63440.59</v>
      </c>
      <c r="I162">
        <v>20</v>
      </c>
      <c r="J162" s="4">
        <v>1</v>
      </c>
      <c r="K162" s="3">
        <v>61.000567307692307</v>
      </c>
    </row>
    <row r="163" spans="1:11" x14ac:dyDescent="0.45">
      <c r="A163" t="s">
        <v>336</v>
      </c>
      <c r="B163" s="5" t="s">
        <v>34</v>
      </c>
      <c r="C163" t="s">
        <v>155</v>
      </c>
      <c r="D163" t="s">
        <v>337</v>
      </c>
      <c r="E163">
        <v>7</v>
      </c>
      <c r="F163" s="3">
        <v>77802.42</v>
      </c>
      <c r="G163" s="3">
        <v>0</v>
      </c>
      <c r="H163" s="3">
        <v>77802.42</v>
      </c>
      <c r="I163">
        <v>40</v>
      </c>
      <c r="J163" s="4">
        <v>1</v>
      </c>
      <c r="K163" s="3">
        <v>37.405009615384607</v>
      </c>
    </row>
    <row r="164" spans="1:11" x14ac:dyDescent="0.45">
      <c r="A164" t="s">
        <v>338</v>
      </c>
      <c r="B164" s="5" t="s">
        <v>34</v>
      </c>
      <c r="C164" t="s">
        <v>155</v>
      </c>
      <c r="D164" t="s">
        <v>339</v>
      </c>
      <c r="E164">
        <v>7</v>
      </c>
      <c r="F164" s="3">
        <v>61460.61</v>
      </c>
      <c r="G164" s="3">
        <v>7997.27</v>
      </c>
      <c r="H164" s="3">
        <v>69457.88</v>
      </c>
      <c r="I164">
        <v>40</v>
      </c>
      <c r="J164" s="4">
        <v>1</v>
      </c>
      <c r="K164" s="3">
        <v>33.393211538461543</v>
      </c>
    </row>
    <row r="165" spans="1:11" x14ac:dyDescent="0.45">
      <c r="A165" t="s">
        <v>340</v>
      </c>
      <c r="B165" s="5" t="s">
        <v>34</v>
      </c>
      <c r="C165" t="s">
        <v>155</v>
      </c>
      <c r="D165" t="s">
        <v>291</v>
      </c>
      <c r="E165">
        <v>3</v>
      </c>
      <c r="F165" s="3">
        <v>69088.52</v>
      </c>
      <c r="G165" s="3">
        <v>0</v>
      </c>
      <c r="H165" s="3">
        <v>69088.52</v>
      </c>
      <c r="I165">
        <v>30</v>
      </c>
      <c r="J165" s="4">
        <v>1</v>
      </c>
      <c r="K165" s="3">
        <v>44.287512820512823</v>
      </c>
    </row>
    <row r="166" spans="1:11" x14ac:dyDescent="0.45">
      <c r="A166" t="s">
        <v>341</v>
      </c>
      <c r="B166" s="5" t="s">
        <v>34</v>
      </c>
      <c r="C166" t="s">
        <v>155</v>
      </c>
      <c r="D166" t="s">
        <v>342</v>
      </c>
      <c r="E166">
        <v>11</v>
      </c>
      <c r="F166" s="3">
        <v>75603.48</v>
      </c>
      <c r="G166" s="3">
        <v>0</v>
      </c>
      <c r="H166" s="3">
        <v>75603.48</v>
      </c>
      <c r="I166">
        <v>30</v>
      </c>
      <c r="J166" s="4">
        <v>0.75</v>
      </c>
      <c r="K166" s="3">
        <v>48.46376923076923</v>
      </c>
    </row>
    <row r="167" spans="1:11" x14ac:dyDescent="0.45">
      <c r="A167" t="s">
        <v>343</v>
      </c>
      <c r="B167" s="5" t="s">
        <v>34</v>
      </c>
      <c r="C167" t="s">
        <v>155</v>
      </c>
      <c r="D167" t="s">
        <v>344</v>
      </c>
      <c r="E167">
        <v>6</v>
      </c>
      <c r="F167" s="3">
        <v>64750.400000000001</v>
      </c>
      <c r="G167" s="3">
        <v>0</v>
      </c>
      <c r="H167" s="3">
        <v>64750.400000000001</v>
      </c>
      <c r="I167">
        <v>30</v>
      </c>
      <c r="J167" s="4">
        <v>1</v>
      </c>
      <c r="K167" s="3">
        <v>41.506666666666668</v>
      </c>
    </row>
    <row r="168" spans="1:11" x14ac:dyDescent="0.45">
      <c r="A168" t="s">
        <v>345</v>
      </c>
      <c r="B168" s="5" t="s">
        <v>34</v>
      </c>
      <c r="C168" t="s">
        <v>155</v>
      </c>
      <c r="D168" t="s">
        <v>346</v>
      </c>
      <c r="E168">
        <v>2</v>
      </c>
      <c r="F168" s="3">
        <v>74571.16</v>
      </c>
      <c r="G168" s="3">
        <v>0</v>
      </c>
      <c r="H168" s="3">
        <v>74571.16</v>
      </c>
      <c r="I168">
        <v>20</v>
      </c>
      <c r="J168" s="4">
        <v>1</v>
      </c>
      <c r="K168" s="3">
        <v>71.703038461538469</v>
      </c>
    </row>
    <row r="169" spans="1:11" x14ac:dyDescent="0.45">
      <c r="A169" t="s">
        <v>347</v>
      </c>
      <c r="B169" s="5" t="s">
        <v>34</v>
      </c>
      <c r="C169" t="s">
        <v>155</v>
      </c>
      <c r="D169" t="s">
        <v>348</v>
      </c>
      <c r="E169">
        <v>7</v>
      </c>
      <c r="F169" s="3">
        <v>60895.23</v>
      </c>
      <c r="G169" s="3">
        <v>0</v>
      </c>
      <c r="H169" s="3">
        <v>60895.23</v>
      </c>
      <c r="I169">
        <v>40</v>
      </c>
      <c r="J169" s="4">
        <v>1</v>
      </c>
      <c r="K169" s="3">
        <v>29.276552884615391</v>
      </c>
    </row>
    <row r="170" spans="1:11" x14ac:dyDescent="0.45">
      <c r="A170" t="s">
        <v>349</v>
      </c>
      <c r="B170" s="5" t="s">
        <v>34</v>
      </c>
      <c r="C170" t="s">
        <v>155</v>
      </c>
      <c r="D170" t="s">
        <v>350</v>
      </c>
      <c r="E170">
        <v>14</v>
      </c>
      <c r="F170" s="3">
        <v>60216.41</v>
      </c>
      <c r="G170" s="3">
        <v>0</v>
      </c>
      <c r="H170" s="3">
        <v>60216.41</v>
      </c>
      <c r="I170">
        <v>20</v>
      </c>
      <c r="J170" s="4">
        <v>0.5</v>
      </c>
      <c r="K170" s="3">
        <v>57.900394230769237</v>
      </c>
    </row>
    <row r="171" spans="1:11" x14ac:dyDescent="0.45">
      <c r="A171" t="s">
        <v>351</v>
      </c>
      <c r="B171" s="5" t="s">
        <v>34</v>
      </c>
      <c r="C171" t="s">
        <v>155</v>
      </c>
      <c r="D171" t="s">
        <v>352</v>
      </c>
      <c r="E171">
        <v>11</v>
      </c>
      <c r="F171" s="3">
        <v>62404.02</v>
      </c>
      <c r="G171" s="3">
        <v>0</v>
      </c>
      <c r="H171" s="3">
        <v>62404.02</v>
      </c>
      <c r="I171">
        <v>30</v>
      </c>
      <c r="J171" s="4">
        <v>1</v>
      </c>
      <c r="K171" s="3">
        <v>40.002576923076923</v>
      </c>
    </row>
    <row r="172" spans="1:11" x14ac:dyDescent="0.45">
      <c r="A172" t="s">
        <v>353</v>
      </c>
      <c r="B172" s="5" t="s">
        <v>34</v>
      </c>
      <c r="C172" t="s">
        <v>155</v>
      </c>
      <c r="D172" t="s">
        <v>354</v>
      </c>
      <c r="E172">
        <v>7</v>
      </c>
      <c r="F172" s="3">
        <v>75347.399999999994</v>
      </c>
      <c r="G172" s="3">
        <v>0</v>
      </c>
      <c r="H172" s="3">
        <v>75347.399999999994</v>
      </c>
      <c r="I172">
        <v>20</v>
      </c>
      <c r="J172" s="4">
        <v>0.5</v>
      </c>
      <c r="K172" s="3">
        <v>72.449423076923068</v>
      </c>
    </row>
    <row r="173" spans="1:11" x14ac:dyDescent="0.45">
      <c r="A173" t="s">
        <v>355</v>
      </c>
      <c r="B173" s="5" t="s">
        <v>34</v>
      </c>
      <c r="C173" t="s">
        <v>155</v>
      </c>
      <c r="D173" t="s">
        <v>356</v>
      </c>
      <c r="E173">
        <v>3</v>
      </c>
      <c r="F173" s="3">
        <v>59028.7</v>
      </c>
      <c r="G173" s="3">
        <v>0</v>
      </c>
      <c r="H173" s="3">
        <v>59028.7</v>
      </c>
      <c r="I173">
        <v>40</v>
      </c>
      <c r="J173" s="4">
        <v>1</v>
      </c>
      <c r="K173" s="3">
        <v>28.37918269230769</v>
      </c>
    </row>
    <row r="174" spans="1:11" x14ac:dyDescent="0.45">
      <c r="A174" t="s">
        <v>357</v>
      </c>
      <c r="B174" s="5" t="s">
        <v>34</v>
      </c>
      <c r="C174" t="s">
        <v>155</v>
      </c>
      <c r="D174" t="s">
        <v>358</v>
      </c>
      <c r="E174">
        <v>13</v>
      </c>
      <c r="F174" s="3">
        <v>63198.78</v>
      </c>
      <c r="G174" s="3">
        <v>5433.82</v>
      </c>
      <c r="H174" s="3">
        <v>68632.600000000006</v>
      </c>
      <c r="I174">
        <v>40</v>
      </c>
      <c r="J174" s="4">
        <v>1</v>
      </c>
      <c r="K174" s="3">
        <v>32.996442307692313</v>
      </c>
    </row>
    <row r="175" spans="1:11" x14ac:dyDescent="0.45">
      <c r="A175" t="s">
        <v>359</v>
      </c>
      <c r="B175" s="5" t="s">
        <v>34</v>
      </c>
      <c r="C175" t="s">
        <v>155</v>
      </c>
      <c r="D175" t="s">
        <v>360</v>
      </c>
      <c r="E175">
        <v>14</v>
      </c>
      <c r="F175" s="3">
        <v>57854.58</v>
      </c>
      <c r="G175" s="3">
        <v>0</v>
      </c>
      <c r="H175" s="3">
        <v>57854.58</v>
      </c>
      <c r="I175">
        <v>30</v>
      </c>
      <c r="J175" s="4">
        <v>1</v>
      </c>
      <c r="K175" s="3">
        <v>37.086269230769233</v>
      </c>
    </row>
    <row r="176" spans="1:11" x14ac:dyDescent="0.45">
      <c r="A176" t="s">
        <v>361</v>
      </c>
      <c r="B176" s="5" t="s">
        <v>34</v>
      </c>
      <c r="C176" t="s">
        <v>155</v>
      </c>
      <c r="D176" t="s">
        <v>362</v>
      </c>
      <c r="E176">
        <v>11</v>
      </c>
      <c r="F176" s="3">
        <v>58465.85</v>
      </c>
      <c r="G176" s="3">
        <v>5402.7</v>
      </c>
      <c r="H176" s="3">
        <v>63868.55</v>
      </c>
      <c r="I176">
        <v>40</v>
      </c>
      <c r="J176" s="4">
        <v>1</v>
      </c>
      <c r="K176" s="3">
        <v>30.706033653846148</v>
      </c>
    </row>
    <row r="177" spans="1:11" x14ac:dyDescent="0.45">
      <c r="A177" t="s">
        <v>363</v>
      </c>
      <c r="B177" s="5" t="s">
        <v>34</v>
      </c>
      <c r="C177" t="s">
        <v>155</v>
      </c>
      <c r="D177" t="s">
        <v>364</v>
      </c>
      <c r="E177">
        <v>14</v>
      </c>
      <c r="F177" s="3">
        <v>76647.789999999994</v>
      </c>
      <c r="G177" s="3">
        <v>0</v>
      </c>
      <c r="H177" s="3">
        <v>76647.789999999994</v>
      </c>
      <c r="I177">
        <v>40</v>
      </c>
      <c r="J177" s="4">
        <v>0.75</v>
      </c>
      <c r="K177" s="3">
        <v>36.849899038461537</v>
      </c>
    </row>
    <row r="178" spans="1:11" x14ac:dyDescent="0.45">
      <c r="A178" t="s">
        <v>365</v>
      </c>
      <c r="B178" s="5" t="s">
        <v>34</v>
      </c>
      <c r="C178" t="s">
        <v>155</v>
      </c>
      <c r="D178" t="s">
        <v>366</v>
      </c>
      <c r="E178">
        <v>6</v>
      </c>
      <c r="F178" s="3">
        <v>60141.440000000002</v>
      </c>
      <c r="G178" s="3">
        <v>4351.1400000000003</v>
      </c>
      <c r="H178" s="3">
        <v>64492.58</v>
      </c>
      <c r="I178">
        <v>40</v>
      </c>
      <c r="J178" s="4">
        <v>1</v>
      </c>
      <c r="K178" s="3">
        <v>31.006048076923079</v>
      </c>
    </row>
    <row r="179" spans="1:11" x14ac:dyDescent="0.45">
      <c r="A179" t="s">
        <v>367</v>
      </c>
      <c r="B179" s="5" t="s">
        <v>34</v>
      </c>
      <c r="C179" t="s">
        <v>155</v>
      </c>
      <c r="D179" t="s">
        <v>127</v>
      </c>
      <c r="E179">
        <v>14</v>
      </c>
      <c r="F179" s="3">
        <v>59016.62</v>
      </c>
      <c r="G179" s="3">
        <v>0</v>
      </c>
      <c r="H179" s="3">
        <v>59016.62</v>
      </c>
      <c r="I179">
        <v>20</v>
      </c>
      <c r="J179" s="4">
        <v>1</v>
      </c>
      <c r="K179" s="3">
        <v>56.746750000000013</v>
      </c>
    </row>
    <row r="180" spans="1:11" x14ac:dyDescent="0.45">
      <c r="A180" t="s">
        <v>368</v>
      </c>
      <c r="B180" s="5" t="s">
        <v>34</v>
      </c>
      <c r="C180" t="s">
        <v>155</v>
      </c>
      <c r="D180" t="s">
        <v>369</v>
      </c>
      <c r="E180">
        <v>7</v>
      </c>
      <c r="F180" s="3">
        <v>66758.73</v>
      </c>
      <c r="G180" s="3">
        <v>0</v>
      </c>
      <c r="H180" s="3">
        <v>66758.73</v>
      </c>
      <c r="I180">
        <v>30</v>
      </c>
      <c r="J180" s="4">
        <v>1</v>
      </c>
      <c r="K180" s="3">
        <v>42.794057692307689</v>
      </c>
    </row>
    <row r="181" spans="1:11" x14ac:dyDescent="0.45">
      <c r="A181" t="s">
        <v>370</v>
      </c>
      <c r="B181" s="5" t="s">
        <v>34</v>
      </c>
      <c r="C181" t="s">
        <v>155</v>
      </c>
      <c r="D181" t="s">
        <v>371</v>
      </c>
      <c r="E181">
        <v>2</v>
      </c>
      <c r="F181" s="3">
        <v>68009.63</v>
      </c>
      <c r="G181" s="3">
        <v>0</v>
      </c>
      <c r="H181" s="3">
        <v>68009.63</v>
      </c>
      <c r="I181">
        <v>20</v>
      </c>
      <c r="J181" s="4">
        <v>1</v>
      </c>
      <c r="K181" s="3">
        <v>65.393875000000008</v>
      </c>
    </row>
    <row r="182" spans="1:11" x14ac:dyDescent="0.45">
      <c r="A182" t="s">
        <v>372</v>
      </c>
      <c r="B182" s="5" t="s">
        <v>34</v>
      </c>
      <c r="C182" t="s">
        <v>155</v>
      </c>
      <c r="D182" t="s">
        <v>373</v>
      </c>
      <c r="E182">
        <v>14</v>
      </c>
      <c r="F182" s="3">
        <v>75944.23</v>
      </c>
      <c r="G182" s="3">
        <v>0</v>
      </c>
      <c r="H182" s="3">
        <v>75944.23</v>
      </c>
      <c r="I182">
        <v>40</v>
      </c>
      <c r="J182" s="4">
        <v>1</v>
      </c>
      <c r="K182" s="3">
        <v>36.511649038461528</v>
      </c>
    </row>
    <row r="183" spans="1:11" x14ac:dyDescent="0.45">
      <c r="A183" t="s">
        <v>374</v>
      </c>
      <c r="B183" s="5" t="s">
        <v>34</v>
      </c>
      <c r="C183" t="s">
        <v>155</v>
      </c>
      <c r="D183" t="s">
        <v>375</v>
      </c>
      <c r="E183">
        <v>13</v>
      </c>
      <c r="F183" s="3">
        <v>59663.07</v>
      </c>
      <c r="G183" s="3">
        <v>0</v>
      </c>
      <c r="H183" s="3">
        <v>59663.07</v>
      </c>
      <c r="I183">
        <v>20</v>
      </c>
      <c r="J183" s="4">
        <v>1</v>
      </c>
      <c r="K183" s="3">
        <v>57.368336538461541</v>
      </c>
    </row>
    <row r="184" spans="1:11" x14ac:dyDescent="0.45">
      <c r="A184" t="s">
        <v>376</v>
      </c>
      <c r="B184" s="5" t="s">
        <v>34</v>
      </c>
      <c r="C184" t="s">
        <v>155</v>
      </c>
      <c r="D184" t="s">
        <v>377</v>
      </c>
      <c r="E184">
        <v>7</v>
      </c>
      <c r="F184" s="3">
        <v>78191.28</v>
      </c>
      <c r="G184" s="3">
        <v>0</v>
      </c>
      <c r="H184" s="3">
        <v>78191.28</v>
      </c>
      <c r="I184">
        <v>20</v>
      </c>
      <c r="J184" s="4">
        <v>1</v>
      </c>
      <c r="K184" s="3">
        <v>75.18392307692308</v>
      </c>
    </row>
    <row r="185" spans="1:11" x14ac:dyDescent="0.45">
      <c r="A185" t="s">
        <v>378</v>
      </c>
      <c r="B185" s="5" t="s">
        <v>34</v>
      </c>
      <c r="C185" t="s">
        <v>155</v>
      </c>
      <c r="D185" t="s">
        <v>220</v>
      </c>
      <c r="E185">
        <v>10</v>
      </c>
      <c r="F185" s="3">
        <v>73367.42</v>
      </c>
      <c r="G185" s="3">
        <v>9379.6299999999992</v>
      </c>
      <c r="H185" s="3">
        <v>82747.05</v>
      </c>
      <c r="I185">
        <v>40</v>
      </c>
      <c r="J185" s="4">
        <v>1</v>
      </c>
      <c r="K185" s="3">
        <v>39.782235576923078</v>
      </c>
    </row>
    <row r="186" spans="1:11" x14ac:dyDescent="0.45">
      <c r="A186" t="s">
        <v>379</v>
      </c>
      <c r="B186" s="5" t="s">
        <v>34</v>
      </c>
      <c r="C186" t="s">
        <v>155</v>
      </c>
      <c r="D186" t="s">
        <v>380</v>
      </c>
      <c r="E186">
        <v>12</v>
      </c>
      <c r="F186" s="3">
        <v>78137.69</v>
      </c>
      <c r="G186" s="3">
        <v>0</v>
      </c>
      <c r="H186" s="3">
        <v>78137.69</v>
      </c>
      <c r="I186">
        <v>40</v>
      </c>
      <c r="J186" s="4">
        <v>0.75</v>
      </c>
      <c r="K186" s="3">
        <v>37.566197115384618</v>
      </c>
    </row>
    <row r="187" spans="1:11" x14ac:dyDescent="0.45">
      <c r="A187" t="s">
        <v>381</v>
      </c>
      <c r="B187" s="5" t="s">
        <v>34</v>
      </c>
      <c r="C187" t="s">
        <v>155</v>
      </c>
      <c r="D187" t="s">
        <v>382</v>
      </c>
      <c r="E187">
        <v>4</v>
      </c>
      <c r="F187" s="3">
        <v>64898.41</v>
      </c>
      <c r="G187" s="3">
        <v>9768.51</v>
      </c>
      <c r="H187" s="3">
        <v>74666.92</v>
      </c>
      <c r="I187">
        <v>40</v>
      </c>
      <c r="J187" s="4">
        <v>0.75</v>
      </c>
      <c r="K187" s="3">
        <v>35.897557692307693</v>
      </c>
    </row>
    <row r="188" spans="1:11" x14ac:dyDescent="0.45">
      <c r="A188" t="s">
        <v>383</v>
      </c>
      <c r="B188" s="5" t="s">
        <v>34</v>
      </c>
      <c r="C188" t="s">
        <v>155</v>
      </c>
      <c r="D188" t="s">
        <v>384</v>
      </c>
      <c r="E188">
        <v>13</v>
      </c>
      <c r="F188" s="3">
        <v>71950.94</v>
      </c>
      <c r="G188" s="3">
        <v>13798.68</v>
      </c>
      <c r="H188" s="3">
        <v>85749.62</v>
      </c>
      <c r="I188">
        <v>40</v>
      </c>
      <c r="J188" s="4">
        <v>0.75</v>
      </c>
      <c r="K188" s="3">
        <v>41.225778846153837</v>
      </c>
    </row>
    <row r="189" spans="1:11" x14ac:dyDescent="0.45">
      <c r="A189" t="s">
        <v>385</v>
      </c>
      <c r="B189" s="5" t="s">
        <v>34</v>
      </c>
      <c r="C189" t="s">
        <v>155</v>
      </c>
      <c r="D189" t="s">
        <v>386</v>
      </c>
      <c r="E189">
        <v>10</v>
      </c>
      <c r="F189" s="3">
        <v>59596.42</v>
      </c>
      <c r="G189" s="3">
        <v>4016.1</v>
      </c>
      <c r="H189" s="3">
        <v>63612.52</v>
      </c>
      <c r="I189">
        <v>20</v>
      </c>
      <c r="J189" s="4">
        <v>1</v>
      </c>
      <c r="K189" s="3">
        <v>61.165884615384613</v>
      </c>
    </row>
    <row r="190" spans="1:11" x14ac:dyDescent="0.45">
      <c r="A190" t="s">
        <v>387</v>
      </c>
      <c r="B190" s="5" t="s">
        <v>34</v>
      </c>
      <c r="C190" t="s">
        <v>155</v>
      </c>
      <c r="D190" t="s">
        <v>388</v>
      </c>
      <c r="E190">
        <v>10</v>
      </c>
      <c r="F190" s="3">
        <v>71216.27</v>
      </c>
      <c r="G190" s="3">
        <v>0</v>
      </c>
      <c r="H190" s="3">
        <v>71216.27</v>
      </c>
      <c r="I190">
        <v>40</v>
      </c>
      <c r="J190" s="4">
        <v>1</v>
      </c>
      <c r="K190" s="3">
        <v>34.238591346153846</v>
      </c>
    </row>
    <row r="191" spans="1:11" x14ac:dyDescent="0.45">
      <c r="A191" t="s">
        <v>389</v>
      </c>
      <c r="B191" s="5" t="s">
        <v>34</v>
      </c>
      <c r="C191" t="s">
        <v>155</v>
      </c>
      <c r="D191" t="s">
        <v>390</v>
      </c>
      <c r="E191">
        <v>12</v>
      </c>
      <c r="F191" s="3">
        <v>68376.160000000003</v>
      </c>
      <c r="G191" s="3">
        <v>0</v>
      </c>
      <c r="H191" s="3">
        <v>68376.160000000003</v>
      </c>
      <c r="I191">
        <v>30</v>
      </c>
      <c r="J191" s="4">
        <v>1</v>
      </c>
      <c r="K191" s="3">
        <v>43.830871794871797</v>
      </c>
    </row>
    <row r="192" spans="1:11" x14ac:dyDescent="0.45">
      <c r="A192" t="s">
        <v>391</v>
      </c>
      <c r="B192" s="2" t="s">
        <v>12</v>
      </c>
      <c r="C192" t="s">
        <v>392</v>
      </c>
      <c r="D192" t="s">
        <v>393</v>
      </c>
      <c r="E192">
        <v>10</v>
      </c>
      <c r="F192" s="3">
        <v>61952.59</v>
      </c>
      <c r="G192" s="3">
        <v>11718.39</v>
      </c>
      <c r="H192" s="3">
        <v>73670.98</v>
      </c>
      <c r="I192">
        <v>40</v>
      </c>
      <c r="J192" s="4">
        <v>1</v>
      </c>
      <c r="K192" s="3">
        <v>35.418740384615383</v>
      </c>
    </row>
    <row r="193" spans="1:11" x14ac:dyDescent="0.45">
      <c r="A193" t="s">
        <v>394</v>
      </c>
      <c r="B193" s="2" t="s">
        <v>12</v>
      </c>
      <c r="C193" t="s">
        <v>392</v>
      </c>
      <c r="D193" t="s">
        <v>395</v>
      </c>
      <c r="E193">
        <v>14</v>
      </c>
      <c r="F193" s="3">
        <v>75769.27</v>
      </c>
      <c r="G193" s="3">
        <v>4116.58</v>
      </c>
      <c r="H193" s="3">
        <v>79885.850000000006</v>
      </c>
      <c r="I193">
        <v>40</v>
      </c>
      <c r="J193" s="4">
        <v>1</v>
      </c>
      <c r="K193" s="3">
        <v>38.406658653846158</v>
      </c>
    </row>
    <row r="194" spans="1:11" x14ac:dyDescent="0.45">
      <c r="A194" t="s">
        <v>396</v>
      </c>
      <c r="B194" s="2" t="s">
        <v>12</v>
      </c>
      <c r="C194" t="s">
        <v>392</v>
      </c>
      <c r="D194" t="s">
        <v>397</v>
      </c>
      <c r="E194">
        <v>1</v>
      </c>
      <c r="F194" s="3">
        <v>74106</v>
      </c>
      <c r="G194" s="3">
        <v>7159.57</v>
      </c>
      <c r="H194" s="3">
        <v>81265.570000000007</v>
      </c>
      <c r="I194">
        <v>40</v>
      </c>
      <c r="J194" s="4">
        <v>1</v>
      </c>
      <c r="K194" s="3">
        <v>39.069985576923081</v>
      </c>
    </row>
    <row r="195" spans="1:11" x14ac:dyDescent="0.45">
      <c r="A195" t="s">
        <v>398</v>
      </c>
      <c r="B195" s="2" t="s">
        <v>12</v>
      </c>
      <c r="C195" t="s">
        <v>392</v>
      </c>
      <c r="D195" t="s">
        <v>399</v>
      </c>
      <c r="E195">
        <v>3</v>
      </c>
      <c r="F195" s="3">
        <v>69065.929999999993</v>
      </c>
      <c r="G195" s="3">
        <v>13732.97</v>
      </c>
      <c r="H195" s="3">
        <v>82798.899999999994</v>
      </c>
      <c r="I195">
        <v>40</v>
      </c>
      <c r="J195" s="4">
        <v>1</v>
      </c>
      <c r="K195" s="3">
        <v>39.807163461538458</v>
      </c>
    </row>
    <row r="196" spans="1:11" x14ac:dyDescent="0.45">
      <c r="A196" t="s">
        <v>400</v>
      </c>
      <c r="B196" s="2" t="s">
        <v>12</v>
      </c>
      <c r="C196" t="s">
        <v>392</v>
      </c>
      <c r="D196" t="s">
        <v>401</v>
      </c>
      <c r="E196">
        <v>12</v>
      </c>
      <c r="F196" s="3">
        <v>67213.539999999994</v>
      </c>
      <c r="G196" s="3">
        <v>11750.37</v>
      </c>
      <c r="H196" s="3">
        <v>78963.909999999989</v>
      </c>
      <c r="I196">
        <v>40</v>
      </c>
      <c r="J196" s="4">
        <v>1</v>
      </c>
      <c r="K196" s="3">
        <v>37.963418269230758</v>
      </c>
    </row>
    <row r="197" spans="1:11" x14ac:dyDescent="0.45">
      <c r="A197" t="s">
        <v>402</v>
      </c>
      <c r="B197" s="2" t="s">
        <v>12</v>
      </c>
      <c r="C197" t="s">
        <v>392</v>
      </c>
      <c r="D197" t="s">
        <v>403</v>
      </c>
      <c r="E197">
        <v>10</v>
      </c>
      <c r="F197" s="3">
        <v>76826.12</v>
      </c>
      <c r="G197" s="3">
        <v>11970.41</v>
      </c>
      <c r="H197" s="3">
        <v>88796.53</v>
      </c>
      <c r="I197">
        <v>40</v>
      </c>
      <c r="J197" s="4">
        <v>1</v>
      </c>
      <c r="K197" s="3">
        <v>42.690639423076931</v>
      </c>
    </row>
    <row r="198" spans="1:11" x14ac:dyDescent="0.45">
      <c r="A198" t="s">
        <v>404</v>
      </c>
      <c r="B198" s="2" t="s">
        <v>12</v>
      </c>
      <c r="C198" t="s">
        <v>392</v>
      </c>
      <c r="D198" t="s">
        <v>405</v>
      </c>
      <c r="E198">
        <v>6</v>
      </c>
      <c r="F198" s="3">
        <v>74828.37</v>
      </c>
      <c r="G198" s="3">
        <v>0</v>
      </c>
      <c r="H198" s="3">
        <v>74828.37</v>
      </c>
      <c r="I198">
        <v>40</v>
      </c>
      <c r="J198" s="4">
        <v>1</v>
      </c>
      <c r="K198" s="3">
        <v>35.975177884615377</v>
      </c>
    </row>
    <row r="199" spans="1:11" x14ac:dyDescent="0.45">
      <c r="A199" t="s">
        <v>406</v>
      </c>
      <c r="B199" s="2" t="s">
        <v>12</v>
      </c>
      <c r="C199" t="s">
        <v>392</v>
      </c>
      <c r="D199" t="s">
        <v>407</v>
      </c>
      <c r="E199">
        <v>14</v>
      </c>
      <c r="F199" s="3">
        <v>67118.44</v>
      </c>
      <c r="G199" s="3">
        <v>5274.94</v>
      </c>
      <c r="H199" s="3">
        <v>72393.38</v>
      </c>
      <c r="I199">
        <v>40</v>
      </c>
      <c r="J199" s="4">
        <v>1</v>
      </c>
      <c r="K199" s="3">
        <v>34.804509615384617</v>
      </c>
    </row>
    <row r="200" spans="1:11" x14ac:dyDescent="0.45">
      <c r="A200" t="s">
        <v>408</v>
      </c>
      <c r="B200" s="2" t="s">
        <v>12</v>
      </c>
      <c r="C200" t="s">
        <v>392</v>
      </c>
      <c r="D200" t="s">
        <v>409</v>
      </c>
      <c r="E200">
        <v>2</v>
      </c>
      <c r="F200" s="3">
        <v>68168.11</v>
      </c>
      <c r="G200" s="3">
        <v>0</v>
      </c>
      <c r="H200" s="3">
        <v>68168.11</v>
      </c>
      <c r="I200">
        <v>40</v>
      </c>
      <c r="J200" s="4">
        <v>1</v>
      </c>
      <c r="K200" s="3">
        <v>32.773129807692307</v>
      </c>
    </row>
    <row r="201" spans="1:11" x14ac:dyDescent="0.45">
      <c r="A201" t="s">
        <v>410</v>
      </c>
      <c r="B201" s="2" t="s">
        <v>12</v>
      </c>
      <c r="C201" t="s">
        <v>392</v>
      </c>
      <c r="D201" t="s">
        <v>411</v>
      </c>
      <c r="E201">
        <v>12</v>
      </c>
      <c r="F201" s="3">
        <v>63435.45</v>
      </c>
      <c r="G201" s="3">
        <v>7120.08</v>
      </c>
      <c r="H201" s="3">
        <v>70555.53</v>
      </c>
      <c r="I201">
        <v>40</v>
      </c>
      <c r="J201" s="4">
        <v>1</v>
      </c>
      <c r="K201" s="3">
        <v>33.920927884615381</v>
      </c>
    </row>
    <row r="202" spans="1:11" x14ac:dyDescent="0.45">
      <c r="A202" t="s">
        <v>412</v>
      </c>
      <c r="B202" s="2" t="s">
        <v>12</v>
      </c>
      <c r="C202" t="s">
        <v>392</v>
      </c>
      <c r="D202" t="s">
        <v>413</v>
      </c>
      <c r="E202">
        <v>14</v>
      </c>
      <c r="F202" s="3">
        <v>63250.32</v>
      </c>
      <c r="G202" s="3">
        <v>10050.959999999999</v>
      </c>
      <c r="H202" s="3">
        <v>73301.279999999999</v>
      </c>
      <c r="I202">
        <v>40</v>
      </c>
      <c r="J202" s="4">
        <v>1</v>
      </c>
      <c r="K202" s="3">
        <v>35.241</v>
      </c>
    </row>
    <row r="203" spans="1:11" x14ac:dyDescent="0.45">
      <c r="A203" t="s">
        <v>414</v>
      </c>
      <c r="B203" s="2" t="s">
        <v>12</v>
      </c>
      <c r="C203" t="s">
        <v>392</v>
      </c>
      <c r="D203" t="s">
        <v>415</v>
      </c>
      <c r="E203">
        <v>11</v>
      </c>
      <c r="F203" s="3">
        <v>69630.44</v>
      </c>
      <c r="G203" s="3">
        <v>12518.79</v>
      </c>
      <c r="H203" s="3">
        <v>82149.23000000001</v>
      </c>
      <c r="I203">
        <v>40</v>
      </c>
      <c r="J203" s="4">
        <v>1</v>
      </c>
      <c r="K203" s="3">
        <v>39.494822115384622</v>
      </c>
    </row>
    <row r="204" spans="1:11" x14ac:dyDescent="0.45">
      <c r="A204" t="s">
        <v>416</v>
      </c>
      <c r="B204" s="2" t="s">
        <v>12</v>
      </c>
      <c r="C204" t="s">
        <v>392</v>
      </c>
      <c r="D204" t="s">
        <v>417</v>
      </c>
      <c r="E204">
        <v>13</v>
      </c>
      <c r="F204" s="3">
        <v>68787.039999999994</v>
      </c>
      <c r="G204" s="3">
        <v>9134.07</v>
      </c>
      <c r="H204" s="3">
        <v>77921.109999999986</v>
      </c>
      <c r="I204">
        <v>40</v>
      </c>
      <c r="J204" s="4">
        <v>1</v>
      </c>
      <c r="K204" s="3">
        <v>37.462072115384608</v>
      </c>
    </row>
    <row r="205" spans="1:11" x14ac:dyDescent="0.45">
      <c r="A205" t="s">
        <v>418</v>
      </c>
      <c r="B205" s="2" t="s">
        <v>12</v>
      </c>
      <c r="C205" t="s">
        <v>392</v>
      </c>
      <c r="D205" t="s">
        <v>419</v>
      </c>
      <c r="E205">
        <v>5</v>
      </c>
      <c r="F205" s="3">
        <v>65495.09</v>
      </c>
      <c r="G205" s="3">
        <v>0</v>
      </c>
      <c r="H205" s="3">
        <v>65495.09</v>
      </c>
      <c r="I205">
        <v>40</v>
      </c>
      <c r="J205" s="4">
        <v>1</v>
      </c>
      <c r="K205" s="3">
        <v>31.488024038461539</v>
      </c>
    </row>
    <row r="206" spans="1:11" x14ac:dyDescent="0.45">
      <c r="A206" t="s">
        <v>420</v>
      </c>
      <c r="B206" s="2" t="s">
        <v>12</v>
      </c>
      <c r="C206" t="s">
        <v>392</v>
      </c>
      <c r="D206" t="s">
        <v>421</v>
      </c>
      <c r="E206">
        <v>10</v>
      </c>
      <c r="F206" s="3">
        <v>77807.8</v>
      </c>
      <c r="G206" s="3">
        <v>8360.11</v>
      </c>
      <c r="H206" s="3">
        <v>86167.91</v>
      </c>
      <c r="I206">
        <v>40</v>
      </c>
      <c r="J206" s="4">
        <v>1</v>
      </c>
      <c r="K206" s="3">
        <v>41.426879807692309</v>
      </c>
    </row>
    <row r="207" spans="1:11" x14ac:dyDescent="0.45">
      <c r="A207" t="s">
        <v>422</v>
      </c>
      <c r="B207" s="2" t="s">
        <v>12</v>
      </c>
      <c r="C207" t="s">
        <v>392</v>
      </c>
      <c r="D207" t="s">
        <v>423</v>
      </c>
      <c r="E207">
        <v>9</v>
      </c>
      <c r="F207" s="3">
        <v>58690.400000000001</v>
      </c>
      <c r="G207" s="3">
        <v>9143.0400000000009</v>
      </c>
      <c r="H207" s="3">
        <v>67833.440000000002</v>
      </c>
      <c r="I207">
        <v>40</v>
      </c>
      <c r="J207" s="4">
        <v>1</v>
      </c>
      <c r="K207" s="3">
        <v>32.61223076923077</v>
      </c>
    </row>
    <row r="208" spans="1:11" x14ac:dyDescent="0.45">
      <c r="A208" t="s">
        <v>424</v>
      </c>
      <c r="B208" s="2" t="s">
        <v>12</v>
      </c>
      <c r="C208" t="s">
        <v>392</v>
      </c>
      <c r="D208" t="s">
        <v>425</v>
      </c>
      <c r="E208">
        <v>4</v>
      </c>
      <c r="F208" s="3">
        <v>65676.009999999995</v>
      </c>
      <c r="G208" s="3">
        <v>11369.31</v>
      </c>
      <c r="H208" s="3">
        <v>77045.319999999992</v>
      </c>
      <c r="I208">
        <v>40</v>
      </c>
      <c r="J208" s="4">
        <v>1</v>
      </c>
      <c r="K208" s="3">
        <v>37.04101923076923</v>
      </c>
    </row>
    <row r="209" spans="1:11" x14ac:dyDescent="0.45">
      <c r="A209" t="s">
        <v>426</v>
      </c>
      <c r="B209" s="2" t="s">
        <v>12</v>
      </c>
      <c r="C209" t="s">
        <v>392</v>
      </c>
      <c r="D209" t="s">
        <v>427</v>
      </c>
      <c r="E209">
        <v>14</v>
      </c>
      <c r="F209" s="3">
        <v>67904.7</v>
      </c>
      <c r="G209" s="3">
        <v>8511.42</v>
      </c>
      <c r="H209" s="3">
        <v>76416.12</v>
      </c>
      <c r="I209">
        <v>40</v>
      </c>
      <c r="J209" s="4">
        <v>1</v>
      </c>
      <c r="K209" s="3">
        <v>36.738519230769228</v>
      </c>
    </row>
    <row r="210" spans="1:11" x14ac:dyDescent="0.45">
      <c r="A210" t="s">
        <v>428</v>
      </c>
      <c r="B210" s="2" t="s">
        <v>12</v>
      </c>
      <c r="C210" t="s">
        <v>392</v>
      </c>
      <c r="D210" t="s">
        <v>429</v>
      </c>
      <c r="E210">
        <v>3</v>
      </c>
      <c r="F210" s="3">
        <v>64572.69</v>
      </c>
      <c r="G210" s="3">
        <v>11413.6</v>
      </c>
      <c r="H210" s="3">
        <v>75986.290000000008</v>
      </c>
      <c r="I210">
        <v>40</v>
      </c>
      <c r="J210" s="4">
        <v>1</v>
      </c>
      <c r="K210" s="3">
        <v>36.531870192307693</v>
      </c>
    </row>
    <row r="211" spans="1:11" x14ac:dyDescent="0.45">
      <c r="A211" t="s">
        <v>430</v>
      </c>
      <c r="B211" s="2" t="s">
        <v>12</v>
      </c>
      <c r="C211" t="s">
        <v>392</v>
      </c>
      <c r="D211" t="s">
        <v>431</v>
      </c>
      <c r="E211">
        <v>10</v>
      </c>
      <c r="F211" s="3">
        <v>68529.399999999994</v>
      </c>
      <c r="G211" s="3">
        <v>10852.77</v>
      </c>
      <c r="H211" s="3">
        <v>79382.17</v>
      </c>
      <c r="I211">
        <v>40</v>
      </c>
      <c r="J211" s="4">
        <v>1</v>
      </c>
      <c r="K211" s="3">
        <v>38.16450480769231</v>
      </c>
    </row>
    <row r="212" spans="1:11" x14ac:dyDescent="0.45">
      <c r="A212" t="s">
        <v>432</v>
      </c>
      <c r="B212" s="2" t="s">
        <v>12</v>
      </c>
      <c r="C212" t="s">
        <v>392</v>
      </c>
      <c r="D212" t="s">
        <v>433</v>
      </c>
      <c r="E212">
        <v>2</v>
      </c>
      <c r="F212" s="3">
        <v>75567.03</v>
      </c>
      <c r="G212" s="3">
        <v>0</v>
      </c>
      <c r="H212" s="3">
        <v>75567.03</v>
      </c>
      <c r="I212">
        <v>40</v>
      </c>
      <c r="J212" s="4">
        <v>1</v>
      </c>
      <c r="K212" s="3">
        <v>36.330302884615392</v>
      </c>
    </row>
    <row r="213" spans="1:11" x14ac:dyDescent="0.45">
      <c r="A213" t="s">
        <v>434</v>
      </c>
      <c r="B213" s="2" t="s">
        <v>12</v>
      </c>
      <c r="C213" t="s">
        <v>392</v>
      </c>
      <c r="D213" t="s">
        <v>435</v>
      </c>
      <c r="E213">
        <v>8</v>
      </c>
      <c r="F213" s="3">
        <v>67377.61</v>
      </c>
      <c r="G213" s="3">
        <v>0</v>
      </c>
      <c r="H213" s="3">
        <v>67377.61</v>
      </c>
      <c r="I213">
        <v>40</v>
      </c>
      <c r="J213" s="4">
        <v>1</v>
      </c>
      <c r="K213" s="3">
        <v>32.393081730769232</v>
      </c>
    </row>
    <row r="214" spans="1:11" x14ac:dyDescent="0.45">
      <c r="A214" t="s">
        <v>436</v>
      </c>
      <c r="B214" s="2" t="s">
        <v>12</v>
      </c>
      <c r="C214" t="s">
        <v>392</v>
      </c>
      <c r="D214" t="s">
        <v>437</v>
      </c>
      <c r="E214">
        <v>8</v>
      </c>
      <c r="F214" s="3">
        <v>70514.490000000005</v>
      </c>
      <c r="G214" s="3">
        <v>4375.2299999999996</v>
      </c>
      <c r="H214" s="3">
        <v>74889.72</v>
      </c>
      <c r="I214">
        <v>40</v>
      </c>
      <c r="J214" s="4">
        <v>1</v>
      </c>
      <c r="K214" s="3">
        <v>36.004673076923083</v>
      </c>
    </row>
    <row r="215" spans="1:11" x14ac:dyDescent="0.45">
      <c r="A215" t="s">
        <v>438</v>
      </c>
      <c r="B215" s="2" t="s">
        <v>12</v>
      </c>
      <c r="C215" t="s">
        <v>392</v>
      </c>
      <c r="D215" t="s">
        <v>439</v>
      </c>
      <c r="E215">
        <v>9</v>
      </c>
      <c r="F215" s="3">
        <v>75187.759999999995</v>
      </c>
      <c r="G215" s="3">
        <v>0</v>
      </c>
      <c r="H215" s="3">
        <v>75187.759999999995</v>
      </c>
      <c r="I215">
        <v>40</v>
      </c>
      <c r="J215" s="4">
        <v>1</v>
      </c>
      <c r="K215" s="3">
        <v>36.147961538461537</v>
      </c>
    </row>
    <row r="216" spans="1:11" x14ac:dyDescent="0.45">
      <c r="A216" t="s">
        <v>440</v>
      </c>
      <c r="B216" s="2" t="s">
        <v>12</v>
      </c>
      <c r="C216" t="s">
        <v>392</v>
      </c>
      <c r="D216" t="s">
        <v>441</v>
      </c>
      <c r="E216">
        <v>11</v>
      </c>
      <c r="F216" s="3">
        <v>77264.45</v>
      </c>
      <c r="G216" s="3">
        <v>14148.34</v>
      </c>
      <c r="H216" s="3">
        <v>91412.79</v>
      </c>
      <c r="I216">
        <v>40</v>
      </c>
      <c r="J216" s="4">
        <v>1</v>
      </c>
      <c r="K216" s="3">
        <v>43.94845673076923</v>
      </c>
    </row>
    <row r="217" spans="1:11" x14ac:dyDescent="0.45">
      <c r="A217" t="s">
        <v>442</v>
      </c>
      <c r="B217" s="2" t="s">
        <v>12</v>
      </c>
      <c r="C217" t="s">
        <v>392</v>
      </c>
      <c r="D217" t="s">
        <v>443</v>
      </c>
      <c r="E217">
        <v>7</v>
      </c>
      <c r="F217" s="3">
        <v>75596.61</v>
      </c>
      <c r="G217" s="3">
        <v>4555.6899999999996</v>
      </c>
      <c r="H217" s="3">
        <v>80152.3</v>
      </c>
      <c r="I217">
        <v>40</v>
      </c>
      <c r="J217" s="4">
        <v>1</v>
      </c>
      <c r="K217" s="3">
        <v>38.534759615384623</v>
      </c>
    </row>
    <row r="218" spans="1:11" x14ac:dyDescent="0.45">
      <c r="A218" t="s">
        <v>444</v>
      </c>
      <c r="B218" s="2" t="s">
        <v>12</v>
      </c>
      <c r="C218" t="s">
        <v>392</v>
      </c>
      <c r="D218" t="s">
        <v>445</v>
      </c>
      <c r="E218">
        <v>3</v>
      </c>
      <c r="F218" s="3">
        <v>78147.490000000005</v>
      </c>
      <c r="G218" s="3">
        <v>8994.44</v>
      </c>
      <c r="H218" s="3">
        <v>87141.930000000008</v>
      </c>
      <c r="I218">
        <v>40</v>
      </c>
      <c r="J218" s="4">
        <v>1</v>
      </c>
      <c r="K218" s="3">
        <v>41.89515865384616</v>
      </c>
    </row>
    <row r="219" spans="1:11" x14ac:dyDescent="0.45">
      <c r="A219" t="s">
        <v>446</v>
      </c>
      <c r="B219" s="2" t="s">
        <v>12</v>
      </c>
      <c r="C219" t="s">
        <v>392</v>
      </c>
      <c r="D219" t="s">
        <v>447</v>
      </c>
      <c r="E219">
        <v>4</v>
      </c>
      <c r="F219" s="3">
        <v>73311.539999999994</v>
      </c>
      <c r="G219" s="3">
        <v>4770.83</v>
      </c>
      <c r="H219" s="3">
        <v>78082.37</v>
      </c>
      <c r="I219">
        <v>40</v>
      </c>
      <c r="J219" s="4">
        <v>1</v>
      </c>
      <c r="K219" s="3">
        <v>37.539600961538461</v>
      </c>
    </row>
    <row r="220" spans="1:11" x14ac:dyDescent="0.45">
      <c r="A220" t="s">
        <v>448</v>
      </c>
      <c r="B220" s="2" t="s">
        <v>12</v>
      </c>
      <c r="C220" t="s">
        <v>392</v>
      </c>
      <c r="D220" t="s">
        <v>449</v>
      </c>
      <c r="E220">
        <v>2</v>
      </c>
      <c r="F220" s="3">
        <v>71957.62</v>
      </c>
      <c r="G220" s="3">
        <v>0</v>
      </c>
      <c r="H220" s="3">
        <v>71957.62</v>
      </c>
      <c r="I220">
        <v>40</v>
      </c>
      <c r="J220" s="4">
        <v>1</v>
      </c>
      <c r="K220" s="3">
        <v>34.595009615384612</v>
      </c>
    </row>
    <row r="221" spans="1:11" x14ac:dyDescent="0.45">
      <c r="A221" t="s">
        <v>450</v>
      </c>
      <c r="B221" s="2" t="s">
        <v>12</v>
      </c>
      <c r="C221" t="s">
        <v>392</v>
      </c>
      <c r="D221" t="s">
        <v>451</v>
      </c>
      <c r="E221">
        <v>10</v>
      </c>
      <c r="F221" s="3">
        <v>64417.24</v>
      </c>
      <c r="G221" s="3">
        <v>6684.54</v>
      </c>
      <c r="H221" s="3">
        <v>71101.78</v>
      </c>
      <c r="I221">
        <v>40</v>
      </c>
      <c r="J221" s="4">
        <v>1</v>
      </c>
      <c r="K221" s="3">
        <v>34.183548076923067</v>
      </c>
    </row>
    <row r="222" spans="1:11" x14ac:dyDescent="0.45">
      <c r="A222" t="s">
        <v>452</v>
      </c>
      <c r="B222" s="2" t="s">
        <v>12</v>
      </c>
      <c r="C222" t="s">
        <v>392</v>
      </c>
      <c r="D222" t="s">
        <v>453</v>
      </c>
      <c r="E222">
        <v>5</v>
      </c>
      <c r="F222" s="3">
        <v>60769.62</v>
      </c>
      <c r="G222" s="3">
        <v>8197.17</v>
      </c>
      <c r="H222" s="3">
        <v>68966.790000000008</v>
      </c>
      <c r="I222">
        <v>40</v>
      </c>
      <c r="J222" s="4">
        <v>1</v>
      </c>
      <c r="K222" s="3">
        <v>33.157110576923081</v>
      </c>
    </row>
    <row r="223" spans="1:11" x14ac:dyDescent="0.45">
      <c r="A223" t="s">
        <v>454</v>
      </c>
      <c r="B223" s="2" t="s">
        <v>12</v>
      </c>
      <c r="C223" t="s">
        <v>392</v>
      </c>
      <c r="D223" t="s">
        <v>455</v>
      </c>
      <c r="E223">
        <v>14</v>
      </c>
      <c r="F223" s="3">
        <v>61267.67</v>
      </c>
      <c r="G223" s="3">
        <v>11066.53</v>
      </c>
      <c r="H223" s="3">
        <v>72334.2</v>
      </c>
      <c r="I223">
        <v>40</v>
      </c>
      <c r="J223" s="4">
        <v>1</v>
      </c>
      <c r="K223" s="3">
        <v>34.776057692307688</v>
      </c>
    </row>
    <row r="224" spans="1:11" x14ac:dyDescent="0.45">
      <c r="A224" t="s">
        <v>456</v>
      </c>
      <c r="B224" s="2" t="s">
        <v>12</v>
      </c>
      <c r="C224" t="s">
        <v>392</v>
      </c>
      <c r="D224" t="s">
        <v>457</v>
      </c>
      <c r="E224">
        <v>6</v>
      </c>
      <c r="F224" s="3">
        <v>71735.95</v>
      </c>
      <c r="G224" s="3">
        <v>9861.7999999999993</v>
      </c>
      <c r="H224" s="3">
        <v>81597.75</v>
      </c>
      <c r="I224">
        <v>40</v>
      </c>
      <c r="J224" s="4">
        <v>1</v>
      </c>
      <c r="K224" s="3">
        <v>39.229687499999997</v>
      </c>
    </row>
    <row r="225" spans="1:11" x14ac:dyDescent="0.45">
      <c r="A225" t="s">
        <v>458</v>
      </c>
      <c r="B225" s="2" t="s">
        <v>12</v>
      </c>
      <c r="C225" t="s">
        <v>392</v>
      </c>
      <c r="D225" t="s">
        <v>459</v>
      </c>
      <c r="E225">
        <v>1</v>
      </c>
      <c r="F225" s="3">
        <v>67207.460000000006</v>
      </c>
      <c r="G225" s="3">
        <v>5934.35</v>
      </c>
      <c r="H225" s="3">
        <v>73141.810000000012</v>
      </c>
      <c r="I225">
        <v>40</v>
      </c>
      <c r="J225" s="4">
        <v>1</v>
      </c>
      <c r="K225" s="3">
        <v>35.164331730769227</v>
      </c>
    </row>
    <row r="226" spans="1:11" x14ac:dyDescent="0.45">
      <c r="A226" t="s">
        <v>460</v>
      </c>
      <c r="B226" s="2" t="s">
        <v>12</v>
      </c>
      <c r="C226" t="s">
        <v>392</v>
      </c>
      <c r="D226" t="s">
        <v>461</v>
      </c>
      <c r="E226">
        <v>13</v>
      </c>
      <c r="F226" s="3">
        <v>76137.73</v>
      </c>
      <c r="G226" s="3">
        <v>7091.83</v>
      </c>
      <c r="H226" s="3">
        <v>83229.56</v>
      </c>
      <c r="I226">
        <v>40</v>
      </c>
      <c r="J226" s="4">
        <v>1</v>
      </c>
      <c r="K226" s="3">
        <v>40.014211538461538</v>
      </c>
    </row>
    <row r="227" spans="1:11" x14ac:dyDescent="0.45">
      <c r="A227" t="s">
        <v>462</v>
      </c>
      <c r="B227" s="2" t="s">
        <v>12</v>
      </c>
      <c r="C227" t="s">
        <v>392</v>
      </c>
      <c r="D227" t="s">
        <v>463</v>
      </c>
      <c r="E227">
        <v>14</v>
      </c>
      <c r="F227" s="3">
        <v>61022.7</v>
      </c>
      <c r="G227" s="3">
        <v>6214.24</v>
      </c>
      <c r="H227" s="3">
        <v>67236.94</v>
      </c>
      <c r="I227">
        <v>40</v>
      </c>
      <c r="J227" s="4">
        <v>1</v>
      </c>
      <c r="K227" s="3">
        <v>32.325451923076933</v>
      </c>
    </row>
    <row r="228" spans="1:11" x14ac:dyDescent="0.45">
      <c r="A228" t="s">
        <v>464</v>
      </c>
      <c r="B228" s="2" t="s">
        <v>12</v>
      </c>
      <c r="C228" t="s">
        <v>392</v>
      </c>
      <c r="D228" t="s">
        <v>465</v>
      </c>
      <c r="E228">
        <v>6</v>
      </c>
      <c r="F228" s="3">
        <v>63902.75</v>
      </c>
      <c r="G228" s="3">
        <v>0</v>
      </c>
      <c r="H228" s="3">
        <v>63902.75</v>
      </c>
      <c r="I228">
        <v>40</v>
      </c>
      <c r="J228" s="4">
        <v>1</v>
      </c>
      <c r="K228" s="3">
        <v>30.722475961538461</v>
      </c>
    </row>
    <row r="229" spans="1:11" x14ac:dyDescent="0.45">
      <c r="A229" t="s">
        <v>466</v>
      </c>
      <c r="B229" s="2" t="s">
        <v>12</v>
      </c>
      <c r="C229" t="s">
        <v>392</v>
      </c>
      <c r="D229" t="s">
        <v>467</v>
      </c>
      <c r="E229">
        <v>11</v>
      </c>
      <c r="F229" s="3">
        <v>67119.45</v>
      </c>
      <c r="G229" s="3">
        <v>13417.58</v>
      </c>
      <c r="H229" s="3">
        <v>80537.03</v>
      </c>
      <c r="I229">
        <v>40</v>
      </c>
      <c r="J229" s="4">
        <v>1</v>
      </c>
      <c r="K229" s="3">
        <v>38.719725961538458</v>
      </c>
    </row>
    <row r="230" spans="1:11" x14ac:dyDescent="0.45">
      <c r="A230" t="s">
        <v>468</v>
      </c>
      <c r="B230" s="2" t="s">
        <v>12</v>
      </c>
      <c r="C230" t="s">
        <v>392</v>
      </c>
      <c r="D230" t="s">
        <v>469</v>
      </c>
      <c r="E230">
        <v>7</v>
      </c>
      <c r="F230" s="3">
        <v>59975.73</v>
      </c>
      <c r="G230" s="3">
        <v>6228.11</v>
      </c>
      <c r="H230" s="3">
        <v>66203.839999999997</v>
      </c>
      <c r="I230">
        <v>40</v>
      </c>
      <c r="J230" s="4">
        <v>1</v>
      </c>
      <c r="K230" s="3">
        <v>31.828769230769229</v>
      </c>
    </row>
    <row r="231" spans="1:11" x14ac:dyDescent="0.45">
      <c r="A231" t="s">
        <v>470</v>
      </c>
      <c r="B231" s="2" t="s">
        <v>12</v>
      </c>
      <c r="C231" t="s">
        <v>392</v>
      </c>
      <c r="D231" t="s">
        <v>471</v>
      </c>
      <c r="E231">
        <v>9</v>
      </c>
      <c r="F231" s="3">
        <v>78050.92</v>
      </c>
      <c r="G231" s="3">
        <v>15351.97</v>
      </c>
      <c r="H231" s="3">
        <v>93402.89</v>
      </c>
      <c r="I231">
        <v>40</v>
      </c>
      <c r="J231" s="4">
        <v>1</v>
      </c>
      <c r="K231" s="3">
        <v>44.905235576923083</v>
      </c>
    </row>
    <row r="232" spans="1:11" x14ac:dyDescent="0.45">
      <c r="A232" t="s">
        <v>472</v>
      </c>
      <c r="B232" s="5" t="s">
        <v>34</v>
      </c>
      <c r="C232" t="s">
        <v>392</v>
      </c>
      <c r="D232" t="s">
        <v>473</v>
      </c>
      <c r="E232">
        <v>2</v>
      </c>
      <c r="F232" s="3">
        <v>59670.02</v>
      </c>
      <c r="G232" s="3">
        <v>9121.75</v>
      </c>
      <c r="H232" s="3">
        <v>68791.76999999999</v>
      </c>
      <c r="I232">
        <v>20</v>
      </c>
      <c r="J232" s="4">
        <v>0.75</v>
      </c>
      <c r="K232" s="3">
        <v>66.145932692307682</v>
      </c>
    </row>
    <row r="233" spans="1:11" x14ac:dyDescent="0.45">
      <c r="A233" t="s">
        <v>474</v>
      </c>
      <c r="B233" s="5" t="s">
        <v>34</v>
      </c>
      <c r="C233" t="s">
        <v>392</v>
      </c>
      <c r="D233" t="s">
        <v>475</v>
      </c>
      <c r="E233">
        <v>6</v>
      </c>
      <c r="F233" s="3">
        <v>70390.509999999995</v>
      </c>
      <c r="G233" s="3">
        <v>0</v>
      </c>
      <c r="H233" s="3">
        <v>70390.509999999995</v>
      </c>
      <c r="I233">
        <v>20</v>
      </c>
      <c r="J233" s="4">
        <v>1</v>
      </c>
      <c r="K233" s="3">
        <v>67.683182692307682</v>
      </c>
    </row>
    <row r="234" spans="1:11" x14ac:dyDescent="0.45">
      <c r="A234" t="s">
        <v>476</v>
      </c>
      <c r="B234" s="5" t="s">
        <v>34</v>
      </c>
      <c r="C234" t="s">
        <v>392</v>
      </c>
      <c r="D234" t="s">
        <v>477</v>
      </c>
      <c r="E234">
        <v>4</v>
      </c>
      <c r="F234" s="3">
        <v>58604.89</v>
      </c>
      <c r="G234" s="3">
        <v>5133.4399999999996</v>
      </c>
      <c r="H234" s="3">
        <v>63738.33</v>
      </c>
      <c r="I234">
        <v>40</v>
      </c>
      <c r="J234" s="4">
        <v>1</v>
      </c>
      <c r="K234" s="3">
        <v>30.643427884615381</v>
      </c>
    </row>
    <row r="235" spans="1:11" x14ac:dyDescent="0.45">
      <c r="A235" t="s">
        <v>478</v>
      </c>
      <c r="B235" s="5" t="s">
        <v>34</v>
      </c>
      <c r="C235" t="s">
        <v>392</v>
      </c>
      <c r="D235" t="s">
        <v>479</v>
      </c>
      <c r="E235">
        <v>3</v>
      </c>
      <c r="F235" s="3">
        <v>60331.51</v>
      </c>
      <c r="G235" s="3">
        <v>8261.56</v>
      </c>
      <c r="H235" s="3">
        <v>68593.070000000007</v>
      </c>
      <c r="I235">
        <v>40</v>
      </c>
      <c r="J235" s="4">
        <v>1</v>
      </c>
      <c r="K235" s="3">
        <v>32.977437500000001</v>
      </c>
    </row>
    <row r="236" spans="1:11" x14ac:dyDescent="0.45">
      <c r="A236" t="s">
        <v>480</v>
      </c>
      <c r="B236" s="5" t="s">
        <v>34</v>
      </c>
      <c r="C236" t="s">
        <v>392</v>
      </c>
      <c r="D236" t="s">
        <v>287</v>
      </c>
      <c r="E236">
        <v>13</v>
      </c>
      <c r="F236" s="3">
        <v>60673.01</v>
      </c>
      <c r="G236" s="3">
        <v>4861.07</v>
      </c>
      <c r="H236" s="3">
        <v>65534.080000000002</v>
      </c>
      <c r="I236">
        <v>40</v>
      </c>
      <c r="J236" s="4">
        <v>0.5</v>
      </c>
      <c r="K236" s="3">
        <v>31.50676923076924</v>
      </c>
    </row>
    <row r="237" spans="1:11" x14ac:dyDescent="0.45">
      <c r="A237" t="s">
        <v>481</v>
      </c>
      <c r="B237" s="5" t="s">
        <v>34</v>
      </c>
      <c r="C237" t="s">
        <v>392</v>
      </c>
      <c r="D237" t="s">
        <v>482</v>
      </c>
      <c r="E237">
        <v>11</v>
      </c>
      <c r="F237" s="3">
        <v>64034.46</v>
      </c>
      <c r="G237" s="3">
        <v>4782.2</v>
      </c>
      <c r="H237" s="3">
        <v>68816.66</v>
      </c>
      <c r="I237">
        <v>40</v>
      </c>
      <c r="J237" s="4">
        <v>1</v>
      </c>
      <c r="K237" s="3">
        <v>33.084932692307703</v>
      </c>
    </row>
    <row r="238" spans="1:11" x14ac:dyDescent="0.45">
      <c r="A238" t="s">
        <v>483</v>
      </c>
      <c r="B238" s="5" t="s">
        <v>34</v>
      </c>
      <c r="C238" t="s">
        <v>392</v>
      </c>
      <c r="D238" t="s">
        <v>484</v>
      </c>
      <c r="E238">
        <v>6</v>
      </c>
      <c r="F238" s="3">
        <v>69841.259999999995</v>
      </c>
      <c r="G238" s="3">
        <v>4280.91</v>
      </c>
      <c r="H238" s="3">
        <v>74122.17</v>
      </c>
      <c r="I238">
        <v>30</v>
      </c>
      <c r="J238" s="4">
        <v>0.5</v>
      </c>
      <c r="K238" s="3">
        <v>47.514211538461538</v>
      </c>
    </row>
    <row r="239" spans="1:11" x14ac:dyDescent="0.45">
      <c r="A239" t="s">
        <v>485</v>
      </c>
      <c r="B239" s="5" t="s">
        <v>34</v>
      </c>
      <c r="C239" t="s">
        <v>392</v>
      </c>
      <c r="D239" t="s">
        <v>486</v>
      </c>
      <c r="E239">
        <v>13</v>
      </c>
      <c r="F239" s="3">
        <v>61422.879999999997</v>
      </c>
      <c r="G239" s="3">
        <v>3199.38</v>
      </c>
      <c r="H239" s="3">
        <v>64622.26</v>
      </c>
      <c r="I239">
        <v>40</v>
      </c>
      <c r="J239" s="4">
        <v>0.75</v>
      </c>
      <c r="K239" s="3">
        <v>31.068394230769229</v>
      </c>
    </row>
    <row r="240" spans="1:11" x14ac:dyDescent="0.45">
      <c r="A240" t="s">
        <v>487</v>
      </c>
      <c r="B240" s="5" t="s">
        <v>34</v>
      </c>
      <c r="C240" t="s">
        <v>392</v>
      </c>
      <c r="D240" t="s">
        <v>488</v>
      </c>
      <c r="E240">
        <v>9</v>
      </c>
      <c r="F240" s="3">
        <v>61476.84</v>
      </c>
      <c r="G240" s="3">
        <v>5491.37</v>
      </c>
      <c r="H240" s="3">
        <v>66968.209999999992</v>
      </c>
      <c r="I240">
        <v>40</v>
      </c>
      <c r="J240" s="4">
        <v>1</v>
      </c>
      <c r="K240" s="3">
        <v>32.196254807692313</v>
      </c>
    </row>
    <row r="241" spans="1:11" x14ac:dyDescent="0.45">
      <c r="A241" t="s">
        <v>489</v>
      </c>
      <c r="B241" s="5" t="s">
        <v>34</v>
      </c>
      <c r="C241" t="s">
        <v>392</v>
      </c>
      <c r="D241" t="s">
        <v>490</v>
      </c>
      <c r="E241">
        <v>13</v>
      </c>
      <c r="F241" s="3">
        <v>67356.86</v>
      </c>
      <c r="G241" s="3">
        <v>9627.4500000000007</v>
      </c>
      <c r="H241" s="3">
        <v>76984.31</v>
      </c>
      <c r="I241">
        <v>40</v>
      </c>
      <c r="J241" s="4">
        <v>0.5</v>
      </c>
      <c r="K241" s="3">
        <v>37.011687500000001</v>
      </c>
    </row>
    <row r="242" spans="1:11" x14ac:dyDescent="0.45">
      <c r="A242" t="s">
        <v>491</v>
      </c>
      <c r="B242" s="5" t="s">
        <v>34</v>
      </c>
      <c r="C242" t="s">
        <v>392</v>
      </c>
      <c r="D242" t="s">
        <v>492</v>
      </c>
      <c r="E242">
        <v>7</v>
      </c>
      <c r="F242" s="3">
        <v>58650.25</v>
      </c>
      <c r="G242" s="3">
        <v>10180.41</v>
      </c>
      <c r="H242" s="3">
        <v>68830.66</v>
      </c>
      <c r="I242">
        <v>30</v>
      </c>
      <c r="J242" s="4">
        <v>1</v>
      </c>
      <c r="K242" s="3">
        <v>44.122217948717953</v>
      </c>
    </row>
    <row r="243" spans="1:11" x14ac:dyDescent="0.45">
      <c r="A243" t="s">
        <v>493</v>
      </c>
      <c r="B243" s="5" t="s">
        <v>34</v>
      </c>
      <c r="C243" t="s">
        <v>392</v>
      </c>
      <c r="D243" t="s">
        <v>494</v>
      </c>
      <c r="E243">
        <v>7</v>
      </c>
      <c r="F243" s="3">
        <v>57083.72</v>
      </c>
      <c r="G243" s="3">
        <v>0</v>
      </c>
      <c r="H243" s="3">
        <v>57083.72</v>
      </c>
      <c r="I243">
        <v>30</v>
      </c>
      <c r="J243" s="4">
        <v>1</v>
      </c>
      <c r="K243" s="3">
        <v>36.592128205128198</v>
      </c>
    </row>
    <row r="244" spans="1:11" x14ac:dyDescent="0.45">
      <c r="A244" t="s">
        <v>495</v>
      </c>
      <c r="B244" s="5" t="s">
        <v>34</v>
      </c>
      <c r="C244" t="s">
        <v>392</v>
      </c>
      <c r="D244" t="s">
        <v>496</v>
      </c>
      <c r="E244">
        <v>4</v>
      </c>
      <c r="F244" s="3">
        <v>56266.09</v>
      </c>
      <c r="G244" s="3">
        <v>0</v>
      </c>
      <c r="H244" s="3">
        <v>56266.09</v>
      </c>
      <c r="I244">
        <v>30</v>
      </c>
      <c r="J244" s="4">
        <v>0.75</v>
      </c>
      <c r="K244" s="3">
        <v>36.068006410256409</v>
      </c>
    </row>
    <row r="245" spans="1:11" x14ac:dyDescent="0.45">
      <c r="A245" t="s">
        <v>497</v>
      </c>
      <c r="B245" s="5" t="s">
        <v>34</v>
      </c>
      <c r="C245" t="s">
        <v>392</v>
      </c>
      <c r="D245" t="s">
        <v>498</v>
      </c>
      <c r="E245">
        <v>13</v>
      </c>
      <c r="F245" s="3">
        <v>61523.42</v>
      </c>
      <c r="G245" s="3">
        <v>0</v>
      </c>
      <c r="H245" s="3">
        <v>61523.42</v>
      </c>
      <c r="I245">
        <v>30</v>
      </c>
      <c r="J245" s="4">
        <v>0.5</v>
      </c>
      <c r="K245" s="3">
        <v>39.438089743589742</v>
      </c>
    </row>
    <row r="246" spans="1:11" x14ac:dyDescent="0.45">
      <c r="A246" t="s">
        <v>499</v>
      </c>
      <c r="B246" s="5" t="s">
        <v>34</v>
      </c>
      <c r="C246" t="s">
        <v>392</v>
      </c>
      <c r="D246" t="s">
        <v>500</v>
      </c>
      <c r="E246">
        <v>3</v>
      </c>
      <c r="F246" s="3">
        <v>68651.570000000007</v>
      </c>
      <c r="G246" s="3">
        <v>7704.95</v>
      </c>
      <c r="H246" s="3">
        <v>76356.52</v>
      </c>
      <c r="I246">
        <v>30</v>
      </c>
      <c r="J246" s="4">
        <v>0.5</v>
      </c>
      <c r="K246" s="3">
        <v>48.946487179487193</v>
      </c>
    </row>
    <row r="247" spans="1:11" x14ac:dyDescent="0.45">
      <c r="A247" t="s">
        <v>501</v>
      </c>
      <c r="B247" s="5" t="s">
        <v>34</v>
      </c>
      <c r="C247" t="s">
        <v>392</v>
      </c>
      <c r="D247" t="s">
        <v>502</v>
      </c>
      <c r="E247">
        <v>1</v>
      </c>
      <c r="F247" s="3">
        <v>62235.83</v>
      </c>
      <c r="G247" s="3">
        <v>0</v>
      </c>
      <c r="H247" s="3">
        <v>62235.83</v>
      </c>
      <c r="I247">
        <v>40</v>
      </c>
      <c r="J247" s="4">
        <v>1</v>
      </c>
      <c r="K247" s="3">
        <v>29.921072115384611</v>
      </c>
    </row>
    <row r="248" spans="1:11" x14ac:dyDescent="0.45">
      <c r="A248" t="s">
        <v>503</v>
      </c>
      <c r="B248" s="5" t="s">
        <v>34</v>
      </c>
      <c r="C248" t="s">
        <v>392</v>
      </c>
      <c r="D248" t="s">
        <v>504</v>
      </c>
      <c r="E248">
        <v>9</v>
      </c>
      <c r="F248" s="3">
        <v>62912.959999999999</v>
      </c>
      <c r="G248" s="3">
        <v>0</v>
      </c>
      <c r="H248" s="3">
        <v>62912.959999999999</v>
      </c>
      <c r="I248">
        <v>40</v>
      </c>
      <c r="J248" s="4">
        <v>1</v>
      </c>
      <c r="K248" s="3">
        <v>30.246615384615389</v>
      </c>
    </row>
    <row r="249" spans="1:11" x14ac:dyDescent="0.45">
      <c r="A249" t="s">
        <v>505</v>
      </c>
      <c r="B249" s="5" t="s">
        <v>34</v>
      </c>
      <c r="C249" t="s">
        <v>392</v>
      </c>
      <c r="D249" t="s">
        <v>506</v>
      </c>
      <c r="E249">
        <v>9</v>
      </c>
      <c r="F249" s="3">
        <v>64853.74</v>
      </c>
      <c r="G249" s="3">
        <v>0</v>
      </c>
      <c r="H249" s="3">
        <v>64853.74</v>
      </c>
      <c r="I249">
        <v>40</v>
      </c>
      <c r="J249" s="4">
        <v>0.75</v>
      </c>
      <c r="K249" s="3">
        <v>31.17968269230769</v>
      </c>
    </row>
    <row r="250" spans="1:11" x14ac:dyDescent="0.45">
      <c r="A250" t="s">
        <v>507</v>
      </c>
      <c r="B250" s="5" t="s">
        <v>34</v>
      </c>
      <c r="C250" t="s">
        <v>392</v>
      </c>
      <c r="D250" t="s">
        <v>508</v>
      </c>
      <c r="E250">
        <v>11</v>
      </c>
      <c r="F250" s="3">
        <v>59696.92</v>
      </c>
      <c r="G250" s="3">
        <v>0</v>
      </c>
      <c r="H250" s="3">
        <v>59696.92</v>
      </c>
      <c r="I250">
        <v>40</v>
      </c>
      <c r="J250" s="4">
        <v>1</v>
      </c>
      <c r="K250" s="3">
        <v>28.700442307692299</v>
      </c>
    </row>
    <row r="251" spans="1:11" x14ac:dyDescent="0.45">
      <c r="A251" t="s">
        <v>509</v>
      </c>
      <c r="B251" s="5" t="s">
        <v>34</v>
      </c>
      <c r="C251" t="s">
        <v>392</v>
      </c>
      <c r="D251" t="s">
        <v>510</v>
      </c>
      <c r="E251">
        <v>8</v>
      </c>
      <c r="F251" s="3">
        <v>66720.73</v>
      </c>
      <c r="G251" s="3">
        <v>3549.78</v>
      </c>
      <c r="H251" s="3">
        <v>70270.509999999995</v>
      </c>
      <c r="I251">
        <v>40</v>
      </c>
      <c r="J251" s="4">
        <v>1</v>
      </c>
      <c r="K251" s="3">
        <v>33.783899038461527</v>
      </c>
    </row>
    <row r="252" spans="1:11" x14ac:dyDescent="0.45">
      <c r="A252" t="s">
        <v>511</v>
      </c>
      <c r="B252" s="5" t="s">
        <v>34</v>
      </c>
      <c r="C252" t="s">
        <v>392</v>
      </c>
      <c r="D252" t="s">
        <v>512</v>
      </c>
      <c r="E252">
        <v>13</v>
      </c>
      <c r="F252" s="3">
        <v>69509.98</v>
      </c>
      <c r="G252" s="3">
        <v>12127.59</v>
      </c>
      <c r="H252" s="3">
        <v>81637.569999999992</v>
      </c>
      <c r="I252">
        <v>40</v>
      </c>
      <c r="J252" s="4">
        <v>0.5</v>
      </c>
      <c r="K252" s="3">
        <v>39.248831730769233</v>
      </c>
    </row>
    <row r="253" spans="1:11" x14ac:dyDescent="0.45">
      <c r="A253" t="s">
        <v>513</v>
      </c>
      <c r="B253" s="5" t="s">
        <v>34</v>
      </c>
      <c r="C253" t="s">
        <v>392</v>
      </c>
      <c r="D253" t="s">
        <v>437</v>
      </c>
      <c r="E253">
        <v>8</v>
      </c>
      <c r="F253" s="3">
        <v>58546.27</v>
      </c>
      <c r="G253" s="3">
        <v>0</v>
      </c>
      <c r="H253" s="3">
        <v>58546.27</v>
      </c>
      <c r="I253">
        <v>40</v>
      </c>
      <c r="J253" s="4">
        <v>0.5</v>
      </c>
      <c r="K253" s="3">
        <v>28.14724519230769</v>
      </c>
    </row>
    <row r="254" spans="1:11" x14ac:dyDescent="0.45">
      <c r="A254" t="s">
        <v>514</v>
      </c>
      <c r="B254" s="5" t="s">
        <v>34</v>
      </c>
      <c r="C254" t="s">
        <v>392</v>
      </c>
      <c r="D254" t="s">
        <v>515</v>
      </c>
      <c r="E254">
        <v>4</v>
      </c>
      <c r="F254" s="3">
        <v>54454.44</v>
      </c>
      <c r="G254" s="3">
        <v>0</v>
      </c>
      <c r="H254" s="3">
        <v>54454.44</v>
      </c>
      <c r="I254">
        <v>40</v>
      </c>
      <c r="J254" s="4">
        <v>0.5</v>
      </c>
      <c r="K254" s="3">
        <v>26.18001923076924</v>
      </c>
    </row>
    <row r="255" spans="1:11" x14ac:dyDescent="0.45">
      <c r="A255" t="s">
        <v>516</v>
      </c>
      <c r="B255" s="5" t="s">
        <v>34</v>
      </c>
      <c r="C255" t="s">
        <v>392</v>
      </c>
      <c r="D255" t="s">
        <v>517</v>
      </c>
      <c r="E255">
        <v>1</v>
      </c>
      <c r="F255" s="3">
        <v>59212.56</v>
      </c>
      <c r="G255" s="3">
        <v>8832.07</v>
      </c>
      <c r="H255" s="3">
        <v>68044.63</v>
      </c>
      <c r="I255">
        <v>40</v>
      </c>
      <c r="J255" s="4">
        <v>1</v>
      </c>
      <c r="K255" s="3">
        <v>32.713764423076917</v>
      </c>
    </row>
    <row r="256" spans="1:11" x14ac:dyDescent="0.45">
      <c r="A256" t="s">
        <v>518</v>
      </c>
      <c r="B256" s="5" t="s">
        <v>34</v>
      </c>
      <c r="C256" t="s">
        <v>392</v>
      </c>
      <c r="D256" t="s">
        <v>519</v>
      </c>
      <c r="E256">
        <v>1</v>
      </c>
      <c r="F256" s="3">
        <v>61278.25</v>
      </c>
      <c r="G256" s="3">
        <v>8476.49</v>
      </c>
      <c r="H256" s="3">
        <v>69754.740000000005</v>
      </c>
      <c r="I256">
        <v>40</v>
      </c>
      <c r="J256" s="4">
        <v>1</v>
      </c>
      <c r="K256" s="3">
        <v>33.535932692307703</v>
      </c>
    </row>
    <row r="257" spans="1:11" x14ac:dyDescent="0.45">
      <c r="A257" t="s">
        <v>520</v>
      </c>
      <c r="B257" s="5" t="s">
        <v>34</v>
      </c>
      <c r="C257" t="s">
        <v>392</v>
      </c>
      <c r="D257" t="s">
        <v>521</v>
      </c>
      <c r="E257">
        <v>2</v>
      </c>
      <c r="F257" s="3">
        <v>55406.06</v>
      </c>
      <c r="G257" s="3">
        <v>7142.55</v>
      </c>
      <c r="H257" s="3">
        <v>62548.61</v>
      </c>
      <c r="I257">
        <v>30</v>
      </c>
      <c r="J257" s="4">
        <v>0.75</v>
      </c>
      <c r="K257" s="3">
        <v>40.095262820512822</v>
      </c>
    </row>
    <row r="258" spans="1:11" x14ac:dyDescent="0.45">
      <c r="A258" t="s">
        <v>522</v>
      </c>
      <c r="B258" s="5" t="s">
        <v>34</v>
      </c>
      <c r="C258" t="s">
        <v>392</v>
      </c>
      <c r="D258" t="s">
        <v>523</v>
      </c>
      <c r="E258">
        <v>12</v>
      </c>
      <c r="F258" s="3">
        <v>69337.929999999993</v>
      </c>
      <c r="G258" s="3">
        <v>4601.13</v>
      </c>
      <c r="H258" s="3">
        <v>73939.06</v>
      </c>
      <c r="I258">
        <v>40</v>
      </c>
      <c r="J258" s="4">
        <v>0.5</v>
      </c>
      <c r="K258" s="3">
        <v>35.547624999999996</v>
      </c>
    </row>
    <row r="259" spans="1:11" x14ac:dyDescent="0.45">
      <c r="A259" t="s">
        <v>524</v>
      </c>
      <c r="B259" s="5" t="s">
        <v>34</v>
      </c>
      <c r="C259" t="s">
        <v>392</v>
      </c>
      <c r="D259" t="s">
        <v>525</v>
      </c>
      <c r="E259">
        <v>12</v>
      </c>
      <c r="F259" s="3">
        <v>55232.61</v>
      </c>
      <c r="G259" s="3">
        <v>9944.4699999999993</v>
      </c>
      <c r="H259" s="3">
        <v>65177.08</v>
      </c>
      <c r="I259">
        <v>40</v>
      </c>
      <c r="J259" s="4">
        <v>0.75</v>
      </c>
      <c r="K259" s="3">
        <v>31.335134615384611</v>
      </c>
    </row>
    <row r="260" spans="1:11" x14ac:dyDescent="0.45">
      <c r="A260" t="s">
        <v>526</v>
      </c>
      <c r="B260" s="5" t="s">
        <v>34</v>
      </c>
      <c r="C260" t="s">
        <v>392</v>
      </c>
      <c r="D260" t="s">
        <v>527</v>
      </c>
      <c r="E260">
        <v>10</v>
      </c>
      <c r="F260" s="3">
        <v>66752.14</v>
      </c>
      <c r="G260" s="3">
        <v>13336.28</v>
      </c>
      <c r="H260" s="3">
        <v>80088.42</v>
      </c>
      <c r="I260">
        <v>30</v>
      </c>
      <c r="J260" s="4">
        <v>1</v>
      </c>
      <c r="K260" s="3">
        <v>51.338730769230772</v>
      </c>
    </row>
    <row r="261" spans="1:11" x14ac:dyDescent="0.45">
      <c r="A261" t="s">
        <v>528</v>
      </c>
      <c r="B261" s="5" t="s">
        <v>34</v>
      </c>
      <c r="C261" t="s">
        <v>392</v>
      </c>
      <c r="D261" t="s">
        <v>529</v>
      </c>
      <c r="E261">
        <v>2</v>
      </c>
      <c r="F261" s="3">
        <v>63813.16</v>
      </c>
      <c r="G261" s="3">
        <v>0</v>
      </c>
      <c r="H261" s="3">
        <v>63813.16</v>
      </c>
      <c r="I261">
        <v>40</v>
      </c>
      <c r="J261" s="4">
        <v>1</v>
      </c>
      <c r="K261" s="3">
        <v>30.67940384615385</v>
      </c>
    </row>
    <row r="262" spans="1:11" x14ac:dyDescent="0.45">
      <c r="A262" t="s">
        <v>530</v>
      </c>
      <c r="B262" s="5" t="s">
        <v>34</v>
      </c>
      <c r="C262" t="s">
        <v>392</v>
      </c>
      <c r="D262" t="s">
        <v>531</v>
      </c>
      <c r="E262">
        <v>14</v>
      </c>
      <c r="F262" s="3">
        <v>66079.31</v>
      </c>
      <c r="G262" s="3">
        <v>6029.9</v>
      </c>
      <c r="H262" s="3">
        <v>72109.209999999992</v>
      </c>
      <c r="I262">
        <v>20</v>
      </c>
      <c r="J262" s="4">
        <v>1</v>
      </c>
      <c r="K262" s="3">
        <v>69.335778846153843</v>
      </c>
    </row>
    <row r="263" spans="1:11" x14ac:dyDescent="0.45">
      <c r="A263" t="s">
        <v>532</v>
      </c>
      <c r="B263" s="5" t="s">
        <v>34</v>
      </c>
      <c r="C263" t="s">
        <v>392</v>
      </c>
      <c r="D263" t="s">
        <v>533</v>
      </c>
      <c r="E263">
        <v>12</v>
      </c>
      <c r="F263" s="3">
        <v>61713.36</v>
      </c>
      <c r="G263" s="3">
        <v>5815.54</v>
      </c>
      <c r="H263" s="3">
        <v>67528.899999999994</v>
      </c>
      <c r="I263">
        <v>20</v>
      </c>
      <c r="J263" s="4">
        <v>0.75</v>
      </c>
      <c r="K263" s="3">
        <v>64.93163461538461</v>
      </c>
    </row>
    <row r="264" spans="1:11" x14ac:dyDescent="0.45">
      <c r="A264" t="s">
        <v>534</v>
      </c>
      <c r="B264" s="5" t="s">
        <v>34</v>
      </c>
      <c r="C264" t="s">
        <v>392</v>
      </c>
      <c r="D264" t="s">
        <v>535</v>
      </c>
      <c r="E264">
        <v>13</v>
      </c>
      <c r="F264" s="3">
        <v>56304.23</v>
      </c>
      <c r="G264" s="3">
        <v>10017.59</v>
      </c>
      <c r="H264" s="3">
        <v>66321.820000000007</v>
      </c>
      <c r="I264">
        <v>40</v>
      </c>
      <c r="J264" s="4">
        <v>0.75</v>
      </c>
      <c r="K264" s="3">
        <v>31.885490384615391</v>
      </c>
    </row>
    <row r="265" spans="1:11" x14ac:dyDescent="0.45">
      <c r="A265" t="s">
        <v>536</v>
      </c>
      <c r="B265" s="5" t="s">
        <v>34</v>
      </c>
      <c r="C265" t="s">
        <v>392</v>
      </c>
      <c r="D265" t="s">
        <v>537</v>
      </c>
      <c r="E265">
        <v>11</v>
      </c>
      <c r="F265" s="3">
        <v>63069.85</v>
      </c>
      <c r="G265" s="3">
        <v>6359.95</v>
      </c>
      <c r="H265" s="3">
        <v>69429.8</v>
      </c>
      <c r="I265">
        <v>30</v>
      </c>
      <c r="J265" s="4">
        <v>0.75</v>
      </c>
      <c r="K265" s="3">
        <v>44.506282051282056</v>
      </c>
    </row>
    <row r="266" spans="1:11" x14ac:dyDescent="0.45">
      <c r="A266" t="s">
        <v>538</v>
      </c>
      <c r="B266" s="5" t="s">
        <v>34</v>
      </c>
      <c r="C266" t="s">
        <v>392</v>
      </c>
      <c r="D266" t="s">
        <v>539</v>
      </c>
      <c r="E266">
        <v>6</v>
      </c>
      <c r="F266" s="3">
        <v>68408.56</v>
      </c>
      <c r="G266" s="3">
        <v>6627.32</v>
      </c>
      <c r="H266" s="3">
        <v>75035.88</v>
      </c>
      <c r="I266">
        <v>40</v>
      </c>
      <c r="J266" s="4">
        <v>1</v>
      </c>
      <c r="K266" s="3">
        <v>36.074942307692311</v>
      </c>
    </row>
    <row r="267" spans="1:11" x14ac:dyDescent="0.45">
      <c r="A267" t="s">
        <v>540</v>
      </c>
      <c r="B267" s="5" t="s">
        <v>34</v>
      </c>
      <c r="C267" t="s">
        <v>392</v>
      </c>
      <c r="D267" t="s">
        <v>541</v>
      </c>
      <c r="E267">
        <v>2</v>
      </c>
      <c r="F267" s="3">
        <v>67586.960000000006</v>
      </c>
      <c r="G267" s="3">
        <v>4304.1899999999996</v>
      </c>
      <c r="H267" s="3">
        <v>71891.150000000009</v>
      </c>
      <c r="I267">
        <v>40</v>
      </c>
      <c r="J267" s="4">
        <v>0.75</v>
      </c>
      <c r="K267" s="3">
        <v>34.563052884615388</v>
      </c>
    </row>
    <row r="268" spans="1:11" x14ac:dyDescent="0.45">
      <c r="A268" t="s">
        <v>542</v>
      </c>
      <c r="B268" s="5" t="s">
        <v>34</v>
      </c>
      <c r="C268" t="s">
        <v>392</v>
      </c>
      <c r="D268" t="s">
        <v>543</v>
      </c>
      <c r="E268">
        <v>13</v>
      </c>
      <c r="F268" s="3">
        <v>56254.04</v>
      </c>
      <c r="G268" s="3">
        <v>9662.5</v>
      </c>
      <c r="H268" s="3">
        <v>65916.540000000008</v>
      </c>
      <c r="I268">
        <v>40</v>
      </c>
      <c r="J268" s="4">
        <v>0.5</v>
      </c>
      <c r="K268" s="3">
        <v>31.690644230769241</v>
      </c>
    </row>
    <row r="269" spans="1:11" x14ac:dyDescent="0.45">
      <c r="A269" t="s">
        <v>544</v>
      </c>
      <c r="B269" s="5" t="s">
        <v>34</v>
      </c>
      <c r="C269" t="s">
        <v>392</v>
      </c>
      <c r="D269" t="s">
        <v>421</v>
      </c>
      <c r="E269">
        <v>10</v>
      </c>
      <c r="F269" s="3">
        <v>72767.19</v>
      </c>
      <c r="G269" s="3">
        <v>10951.61</v>
      </c>
      <c r="H269" s="3">
        <v>83718.8</v>
      </c>
      <c r="I269">
        <v>40</v>
      </c>
      <c r="J269" s="4">
        <v>0.75</v>
      </c>
      <c r="K269" s="3">
        <v>40.24942307692308</v>
      </c>
    </row>
    <row r="270" spans="1:11" x14ac:dyDescent="0.45">
      <c r="A270" t="s">
        <v>545</v>
      </c>
      <c r="B270" s="5" t="s">
        <v>34</v>
      </c>
      <c r="C270" t="s">
        <v>392</v>
      </c>
      <c r="D270" t="s">
        <v>546</v>
      </c>
      <c r="E270">
        <v>14</v>
      </c>
      <c r="F270" s="3">
        <v>71067.37</v>
      </c>
      <c r="G270" s="3">
        <v>13876.6</v>
      </c>
      <c r="H270" s="3">
        <v>84943.97</v>
      </c>
      <c r="I270">
        <v>40</v>
      </c>
      <c r="J270" s="4">
        <v>1</v>
      </c>
      <c r="K270" s="3">
        <v>40.838447115384618</v>
      </c>
    </row>
    <row r="271" spans="1:11" x14ac:dyDescent="0.45">
      <c r="A271" t="s">
        <v>547</v>
      </c>
      <c r="B271" s="5" t="s">
        <v>34</v>
      </c>
      <c r="C271" t="s">
        <v>392</v>
      </c>
      <c r="D271" t="s">
        <v>548</v>
      </c>
      <c r="E271">
        <v>11</v>
      </c>
      <c r="F271" s="3">
        <v>56389.13</v>
      </c>
      <c r="G271" s="3">
        <v>4128.22</v>
      </c>
      <c r="H271" s="3">
        <v>60517.35</v>
      </c>
      <c r="I271">
        <v>40</v>
      </c>
      <c r="J271" s="4">
        <v>1</v>
      </c>
      <c r="K271" s="3">
        <v>29.094879807692308</v>
      </c>
    </row>
    <row r="272" spans="1:11" x14ac:dyDescent="0.45">
      <c r="A272" t="s">
        <v>549</v>
      </c>
      <c r="B272" s="2" t="s">
        <v>12</v>
      </c>
      <c r="C272" t="s">
        <v>550</v>
      </c>
      <c r="D272" t="s">
        <v>551</v>
      </c>
      <c r="E272">
        <v>3</v>
      </c>
      <c r="F272" s="3">
        <v>78312.800000000003</v>
      </c>
      <c r="G272" s="3">
        <v>0</v>
      </c>
      <c r="H272" s="3">
        <v>78312.800000000003</v>
      </c>
      <c r="I272">
        <v>40</v>
      </c>
      <c r="J272" s="4">
        <v>1</v>
      </c>
      <c r="K272" s="3">
        <v>37.650384615384617</v>
      </c>
    </row>
    <row r="273" spans="1:11" x14ac:dyDescent="0.45">
      <c r="A273" t="s">
        <v>552</v>
      </c>
      <c r="B273" s="2" t="s">
        <v>12</v>
      </c>
      <c r="C273" t="s">
        <v>550</v>
      </c>
      <c r="D273" t="s">
        <v>553</v>
      </c>
      <c r="E273">
        <v>10</v>
      </c>
      <c r="F273" s="3">
        <v>88460.1</v>
      </c>
      <c r="G273" s="3">
        <v>0</v>
      </c>
      <c r="H273" s="3">
        <v>88460.1</v>
      </c>
      <c r="I273">
        <v>40</v>
      </c>
      <c r="J273" s="4">
        <v>1</v>
      </c>
      <c r="K273" s="3">
        <v>42.528894230769232</v>
      </c>
    </row>
    <row r="274" spans="1:11" x14ac:dyDescent="0.45">
      <c r="A274" t="s">
        <v>554</v>
      </c>
      <c r="B274" s="2" t="s">
        <v>12</v>
      </c>
      <c r="C274" t="s">
        <v>550</v>
      </c>
      <c r="D274" t="s">
        <v>555</v>
      </c>
      <c r="E274">
        <v>14</v>
      </c>
      <c r="F274" s="3">
        <v>90490.82</v>
      </c>
      <c r="G274" s="3">
        <v>0</v>
      </c>
      <c r="H274" s="3">
        <v>90490.82</v>
      </c>
      <c r="I274">
        <v>40</v>
      </c>
      <c r="J274" s="4">
        <v>1</v>
      </c>
      <c r="K274" s="3">
        <v>43.505201923076918</v>
      </c>
    </row>
    <row r="275" spans="1:11" x14ac:dyDescent="0.45">
      <c r="A275" t="s">
        <v>556</v>
      </c>
      <c r="B275" s="2" t="s">
        <v>12</v>
      </c>
      <c r="C275" t="s">
        <v>550</v>
      </c>
      <c r="D275" t="s">
        <v>557</v>
      </c>
      <c r="E275">
        <v>1</v>
      </c>
      <c r="F275" s="3">
        <v>84793.9</v>
      </c>
      <c r="G275" s="3">
        <v>0</v>
      </c>
      <c r="H275" s="3">
        <v>84793.9</v>
      </c>
      <c r="I275">
        <v>40</v>
      </c>
      <c r="J275" s="4">
        <v>1</v>
      </c>
      <c r="K275" s="3">
        <v>40.766298076923071</v>
      </c>
    </row>
    <row r="276" spans="1:11" x14ac:dyDescent="0.45">
      <c r="A276" t="s">
        <v>558</v>
      </c>
      <c r="B276" s="2" t="s">
        <v>12</v>
      </c>
      <c r="C276" t="s">
        <v>550</v>
      </c>
      <c r="D276" t="s">
        <v>559</v>
      </c>
      <c r="E276">
        <v>7</v>
      </c>
      <c r="F276" s="3">
        <v>84681.27</v>
      </c>
      <c r="G276" s="3">
        <v>0</v>
      </c>
      <c r="H276" s="3">
        <v>84681.27</v>
      </c>
      <c r="I276">
        <v>40</v>
      </c>
      <c r="J276" s="4">
        <v>1</v>
      </c>
      <c r="K276" s="3">
        <v>40.71214903846154</v>
      </c>
    </row>
    <row r="277" spans="1:11" x14ac:dyDescent="0.45">
      <c r="A277" t="s">
        <v>560</v>
      </c>
      <c r="B277" s="2" t="s">
        <v>12</v>
      </c>
      <c r="C277" t="s">
        <v>550</v>
      </c>
      <c r="D277" t="s">
        <v>561</v>
      </c>
      <c r="E277">
        <v>8</v>
      </c>
      <c r="F277" s="3">
        <v>70412.25</v>
      </c>
      <c r="G277" s="3">
        <v>11573.06</v>
      </c>
      <c r="H277" s="3">
        <v>81985.31</v>
      </c>
      <c r="I277">
        <v>40</v>
      </c>
      <c r="J277" s="4">
        <v>1</v>
      </c>
      <c r="K277" s="3">
        <v>39.416014423076923</v>
      </c>
    </row>
    <row r="278" spans="1:11" x14ac:dyDescent="0.45">
      <c r="A278" t="s">
        <v>562</v>
      </c>
      <c r="B278" s="2" t="s">
        <v>12</v>
      </c>
      <c r="C278" t="s">
        <v>550</v>
      </c>
      <c r="D278" t="s">
        <v>563</v>
      </c>
      <c r="E278">
        <v>9</v>
      </c>
      <c r="F278" s="3">
        <v>78335.179999999993</v>
      </c>
      <c r="G278" s="3">
        <v>5600</v>
      </c>
      <c r="H278" s="3">
        <v>83935.18</v>
      </c>
      <c r="I278">
        <v>40</v>
      </c>
      <c r="J278" s="4">
        <v>1</v>
      </c>
      <c r="K278" s="3">
        <v>40.353451923076918</v>
      </c>
    </row>
    <row r="279" spans="1:11" x14ac:dyDescent="0.45">
      <c r="A279" t="s">
        <v>564</v>
      </c>
      <c r="B279" s="2" t="s">
        <v>12</v>
      </c>
      <c r="C279" t="s">
        <v>550</v>
      </c>
      <c r="D279" t="s">
        <v>565</v>
      </c>
      <c r="E279">
        <v>1</v>
      </c>
      <c r="F279" s="3">
        <v>71411.8</v>
      </c>
      <c r="G279" s="3">
        <v>0</v>
      </c>
      <c r="H279" s="3">
        <v>71411.8</v>
      </c>
      <c r="I279">
        <v>40</v>
      </c>
      <c r="J279" s="4">
        <v>1</v>
      </c>
      <c r="K279" s="3">
        <v>34.332596153846147</v>
      </c>
    </row>
    <row r="280" spans="1:11" x14ac:dyDescent="0.45">
      <c r="A280" t="s">
        <v>566</v>
      </c>
      <c r="B280" s="2" t="s">
        <v>12</v>
      </c>
      <c r="C280" t="s">
        <v>550</v>
      </c>
      <c r="D280" t="s">
        <v>567</v>
      </c>
      <c r="E280">
        <v>9</v>
      </c>
      <c r="F280" s="3">
        <v>71957.240000000005</v>
      </c>
      <c r="G280" s="3">
        <v>0</v>
      </c>
      <c r="H280" s="3">
        <v>71957.240000000005</v>
      </c>
      <c r="I280">
        <v>40</v>
      </c>
      <c r="J280" s="4">
        <v>1</v>
      </c>
      <c r="K280" s="3">
        <v>34.594826923076923</v>
      </c>
    </row>
    <row r="281" spans="1:11" x14ac:dyDescent="0.45">
      <c r="A281" t="s">
        <v>568</v>
      </c>
      <c r="B281" s="2" t="s">
        <v>12</v>
      </c>
      <c r="C281" t="s">
        <v>550</v>
      </c>
      <c r="D281" t="s">
        <v>569</v>
      </c>
      <c r="E281">
        <v>8</v>
      </c>
      <c r="F281" s="3">
        <v>80027.88</v>
      </c>
      <c r="G281" s="3">
        <v>8443.58</v>
      </c>
      <c r="H281" s="3">
        <v>88471.46</v>
      </c>
      <c r="I281">
        <v>40</v>
      </c>
      <c r="J281" s="4">
        <v>1</v>
      </c>
      <c r="K281" s="3">
        <v>42.534355769230771</v>
      </c>
    </row>
    <row r="282" spans="1:11" x14ac:dyDescent="0.45">
      <c r="A282" t="s">
        <v>570</v>
      </c>
      <c r="B282" s="2" t="s">
        <v>12</v>
      </c>
      <c r="C282" t="s">
        <v>550</v>
      </c>
      <c r="D282" t="s">
        <v>571</v>
      </c>
      <c r="E282">
        <v>2</v>
      </c>
      <c r="F282" s="3">
        <v>88810.16</v>
      </c>
      <c r="G282" s="3">
        <v>0</v>
      </c>
      <c r="H282" s="3">
        <v>88810.16</v>
      </c>
      <c r="I282">
        <v>40</v>
      </c>
      <c r="J282" s="4">
        <v>1</v>
      </c>
      <c r="K282" s="3">
        <v>42.697192307692312</v>
      </c>
    </row>
    <row r="283" spans="1:11" x14ac:dyDescent="0.45">
      <c r="A283" t="s">
        <v>572</v>
      </c>
      <c r="B283" s="2" t="s">
        <v>12</v>
      </c>
      <c r="C283" t="s">
        <v>550</v>
      </c>
      <c r="D283" t="s">
        <v>573</v>
      </c>
      <c r="E283">
        <v>2</v>
      </c>
      <c r="F283" s="3">
        <v>91430.22</v>
      </c>
      <c r="G283" s="3">
        <v>14918.25</v>
      </c>
      <c r="H283" s="3">
        <v>106348.47</v>
      </c>
      <c r="I283">
        <v>40</v>
      </c>
      <c r="J283" s="4">
        <v>1</v>
      </c>
      <c r="K283" s="3">
        <v>51.129072115384623</v>
      </c>
    </row>
    <row r="284" spans="1:11" x14ac:dyDescent="0.45">
      <c r="A284" t="s">
        <v>574</v>
      </c>
      <c r="B284" s="2" t="s">
        <v>12</v>
      </c>
      <c r="C284" t="s">
        <v>550</v>
      </c>
      <c r="D284" t="s">
        <v>575</v>
      </c>
      <c r="E284">
        <v>11</v>
      </c>
      <c r="F284" s="3">
        <v>86279.63</v>
      </c>
      <c r="G284" s="3">
        <v>12880.76</v>
      </c>
      <c r="H284" s="3">
        <v>99160.39</v>
      </c>
      <c r="I284">
        <v>40</v>
      </c>
      <c r="J284" s="4">
        <v>1</v>
      </c>
      <c r="K284" s="3">
        <v>47.673264423076922</v>
      </c>
    </row>
    <row r="285" spans="1:11" x14ac:dyDescent="0.45">
      <c r="A285" t="s">
        <v>576</v>
      </c>
      <c r="B285" s="2" t="s">
        <v>12</v>
      </c>
      <c r="C285" t="s">
        <v>550</v>
      </c>
      <c r="D285" t="s">
        <v>577</v>
      </c>
      <c r="E285">
        <v>12</v>
      </c>
      <c r="F285" s="3">
        <v>84634.07</v>
      </c>
      <c r="G285" s="3">
        <v>6968.38</v>
      </c>
      <c r="H285" s="3">
        <v>91602.45</v>
      </c>
      <c r="I285">
        <v>40</v>
      </c>
      <c r="J285" s="4">
        <v>1</v>
      </c>
      <c r="K285" s="3">
        <v>44.039639423076927</v>
      </c>
    </row>
    <row r="286" spans="1:11" x14ac:dyDescent="0.45">
      <c r="A286" t="s">
        <v>578</v>
      </c>
      <c r="B286" s="2" t="s">
        <v>12</v>
      </c>
      <c r="C286" t="s">
        <v>550</v>
      </c>
      <c r="D286" t="s">
        <v>579</v>
      </c>
      <c r="E286">
        <v>14</v>
      </c>
      <c r="F286" s="3">
        <v>72499.91</v>
      </c>
      <c r="G286" s="3">
        <v>6705.3</v>
      </c>
      <c r="H286" s="3">
        <v>79205.210000000006</v>
      </c>
      <c r="I286">
        <v>40</v>
      </c>
      <c r="J286" s="4">
        <v>1</v>
      </c>
      <c r="K286" s="3">
        <v>38.079427884615377</v>
      </c>
    </row>
    <row r="287" spans="1:11" x14ac:dyDescent="0.45">
      <c r="A287" t="s">
        <v>580</v>
      </c>
      <c r="B287" s="2" t="s">
        <v>12</v>
      </c>
      <c r="C287" t="s">
        <v>550</v>
      </c>
      <c r="D287" t="s">
        <v>581</v>
      </c>
      <c r="E287">
        <v>2</v>
      </c>
      <c r="F287" s="3">
        <v>81671.17</v>
      </c>
      <c r="G287" s="3">
        <v>0</v>
      </c>
      <c r="H287" s="3">
        <v>81671.17</v>
      </c>
      <c r="I287">
        <v>40</v>
      </c>
      <c r="J287" s="4">
        <v>1</v>
      </c>
      <c r="K287" s="3">
        <v>39.264985576923067</v>
      </c>
    </row>
    <row r="288" spans="1:11" x14ac:dyDescent="0.45">
      <c r="A288" t="s">
        <v>582</v>
      </c>
      <c r="B288" s="2" t="s">
        <v>12</v>
      </c>
      <c r="C288" t="s">
        <v>550</v>
      </c>
      <c r="D288" t="s">
        <v>583</v>
      </c>
      <c r="E288">
        <v>2</v>
      </c>
      <c r="F288" s="3">
        <v>75124.75</v>
      </c>
      <c r="G288" s="3">
        <v>0</v>
      </c>
      <c r="H288" s="3">
        <v>75124.75</v>
      </c>
      <c r="I288">
        <v>40</v>
      </c>
      <c r="J288" s="4">
        <v>1</v>
      </c>
      <c r="K288" s="3">
        <v>36.117668269230769</v>
      </c>
    </row>
    <row r="289" spans="1:11" x14ac:dyDescent="0.45">
      <c r="A289" t="s">
        <v>584</v>
      </c>
      <c r="B289" s="2" t="s">
        <v>12</v>
      </c>
      <c r="C289" t="s">
        <v>550</v>
      </c>
      <c r="D289" t="s">
        <v>585</v>
      </c>
      <c r="E289">
        <v>4</v>
      </c>
      <c r="F289" s="3">
        <v>69889.100000000006</v>
      </c>
      <c r="G289" s="3">
        <v>5708.9</v>
      </c>
      <c r="H289" s="3">
        <v>75598</v>
      </c>
      <c r="I289">
        <v>40</v>
      </c>
      <c r="J289" s="4">
        <v>1</v>
      </c>
      <c r="K289" s="3">
        <v>36.345192307692308</v>
      </c>
    </row>
    <row r="290" spans="1:11" x14ac:dyDescent="0.45">
      <c r="A290" t="s">
        <v>586</v>
      </c>
      <c r="B290" s="2" t="s">
        <v>12</v>
      </c>
      <c r="C290" t="s">
        <v>550</v>
      </c>
      <c r="D290" t="s">
        <v>587</v>
      </c>
      <c r="E290">
        <v>12</v>
      </c>
      <c r="F290" s="3">
        <v>88498.36</v>
      </c>
      <c r="G290" s="3">
        <v>6017.68</v>
      </c>
      <c r="H290" s="3">
        <v>94516.04</v>
      </c>
      <c r="I290">
        <v>40</v>
      </c>
      <c r="J290" s="4">
        <v>1</v>
      </c>
      <c r="K290" s="3">
        <v>45.440403846153849</v>
      </c>
    </row>
    <row r="291" spans="1:11" x14ac:dyDescent="0.45">
      <c r="A291" t="s">
        <v>588</v>
      </c>
      <c r="B291" s="2" t="s">
        <v>12</v>
      </c>
      <c r="C291" t="s">
        <v>550</v>
      </c>
      <c r="D291" t="s">
        <v>475</v>
      </c>
      <c r="E291">
        <v>6</v>
      </c>
      <c r="F291" s="3">
        <v>88076.55</v>
      </c>
      <c r="G291" s="3">
        <v>9426.93</v>
      </c>
      <c r="H291" s="3">
        <v>97503.48</v>
      </c>
      <c r="I291">
        <v>40</v>
      </c>
      <c r="J291" s="4">
        <v>1</v>
      </c>
      <c r="K291" s="3">
        <v>46.876673076923083</v>
      </c>
    </row>
    <row r="292" spans="1:11" x14ac:dyDescent="0.45">
      <c r="A292" t="s">
        <v>589</v>
      </c>
      <c r="B292" s="2" t="s">
        <v>12</v>
      </c>
      <c r="C292" t="s">
        <v>550</v>
      </c>
      <c r="D292" t="s">
        <v>590</v>
      </c>
      <c r="E292">
        <v>8</v>
      </c>
      <c r="F292" s="3">
        <v>82006.45</v>
      </c>
      <c r="G292" s="3">
        <v>0</v>
      </c>
      <c r="H292" s="3">
        <v>82006.45</v>
      </c>
      <c r="I292">
        <v>40</v>
      </c>
      <c r="J292" s="4">
        <v>1</v>
      </c>
      <c r="K292" s="3">
        <v>39.426177884615377</v>
      </c>
    </row>
    <row r="293" spans="1:11" x14ac:dyDescent="0.45">
      <c r="A293" t="s">
        <v>591</v>
      </c>
      <c r="B293" s="2" t="s">
        <v>12</v>
      </c>
      <c r="C293" t="s">
        <v>550</v>
      </c>
      <c r="D293" t="s">
        <v>592</v>
      </c>
      <c r="E293">
        <v>1</v>
      </c>
      <c r="F293" s="3">
        <v>71473.06</v>
      </c>
      <c r="G293" s="3">
        <v>0</v>
      </c>
      <c r="H293" s="3">
        <v>71473.06</v>
      </c>
      <c r="I293">
        <v>40</v>
      </c>
      <c r="J293" s="4">
        <v>1</v>
      </c>
      <c r="K293" s="3">
        <v>34.362048076923067</v>
      </c>
    </row>
    <row r="294" spans="1:11" x14ac:dyDescent="0.45">
      <c r="A294" t="s">
        <v>593</v>
      </c>
      <c r="B294" s="2" t="s">
        <v>12</v>
      </c>
      <c r="C294" t="s">
        <v>550</v>
      </c>
      <c r="D294" t="s">
        <v>594</v>
      </c>
      <c r="E294">
        <v>8</v>
      </c>
      <c r="F294" s="3">
        <v>80431</v>
      </c>
      <c r="G294" s="3">
        <v>4960.9399999999996</v>
      </c>
      <c r="H294" s="3">
        <v>85391.94</v>
      </c>
      <c r="I294">
        <v>40</v>
      </c>
      <c r="J294" s="4">
        <v>1</v>
      </c>
      <c r="K294" s="3">
        <v>41.053817307692313</v>
      </c>
    </row>
    <row r="295" spans="1:11" x14ac:dyDescent="0.45">
      <c r="A295" t="s">
        <v>595</v>
      </c>
      <c r="B295" s="2" t="s">
        <v>12</v>
      </c>
      <c r="C295" t="s">
        <v>550</v>
      </c>
      <c r="D295" t="s">
        <v>596</v>
      </c>
      <c r="E295">
        <v>10</v>
      </c>
      <c r="F295" s="3">
        <v>83863.679999999993</v>
      </c>
      <c r="G295" s="3">
        <v>0</v>
      </c>
      <c r="H295" s="3">
        <v>83863.679999999993</v>
      </c>
      <c r="I295">
        <v>40</v>
      </c>
      <c r="J295" s="4">
        <v>1</v>
      </c>
      <c r="K295" s="3">
        <v>40.319076923076921</v>
      </c>
    </row>
    <row r="296" spans="1:11" x14ac:dyDescent="0.45">
      <c r="A296" t="s">
        <v>597</v>
      </c>
      <c r="B296" s="2" t="s">
        <v>12</v>
      </c>
      <c r="C296" t="s">
        <v>550</v>
      </c>
      <c r="D296" t="s">
        <v>598</v>
      </c>
      <c r="E296">
        <v>4</v>
      </c>
      <c r="F296" s="3">
        <v>76822.070000000007</v>
      </c>
      <c r="G296" s="3">
        <v>14974.92</v>
      </c>
      <c r="H296" s="3">
        <v>91796.99</v>
      </c>
      <c r="I296">
        <v>40</v>
      </c>
      <c r="J296" s="4">
        <v>1</v>
      </c>
      <c r="K296" s="3">
        <v>44.133168269230772</v>
      </c>
    </row>
    <row r="297" spans="1:11" x14ac:dyDescent="0.45">
      <c r="A297" t="s">
        <v>599</v>
      </c>
      <c r="B297" s="2" t="s">
        <v>12</v>
      </c>
      <c r="C297" t="s">
        <v>550</v>
      </c>
      <c r="D297" t="s">
        <v>600</v>
      </c>
      <c r="E297">
        <v>9</v>
      </c>
      <c r="F297" s="3">
        <v>89412.52</v>
      </c>
      <c r="G297" s="3">
        <v>0</v>
      </c>
      <c r="H297" s="3">
        <v>89412.52</v>
      </c>
      <c r="I297">
        <v>40</v>
      </c>
      <c r="J297" s="4">
        <v>1</v>
      </c>
      <c r="K297" s="3">
        <v>42.986788461538467</v>
      </c>
    </row>
    <row r="298" spans="1:11" x14ac:dyDescent="0.45">
      <c r="A298" t="s">
        <v>601</v>
      </c>
      <c r="B298" s="2" t="s">
        <v>12</v>
      </c>
      <c r="C298" t="s">
        <v>550</v>
      </c>
      <c r="D298" t="s">
        <v>325</v>
      </c>
      <c r="E298">
        <v>6</v>
      </c>
      <c r="F298" s="3">
        <v>71868</v>
      </c>
      <c r="G298" s="3">
        <v>0</v>
      </c>
      <c r="H298" s="3">
        <v>71868</v>
      </c>
      <c r="I298">
        <v>40</v>
      </c>
      <c r="J298" s="4">
        <v>1</v>
      </c>
      <c r="K298" s="3">
        <v>34.551923076923067</v>
      </c>
    </row>
    <row r="299" spans="1:11" x14ac:dyDescent="0.45">
      <c r="A299" t="s">
        <v>602</v>
      </c>
      <c r="B299" s="2" t="s">
        <v>12</v>
      </c>
      <c r="C299" t="s">
        <v>550</v>
      </c>
      <c r="D299" t="s">
        <v>603</v>
      </c>
      <c r="E299">
        <v>7</v>
      </c>
      <c r="F299" s="3">
        <v>80417.64</v>
      </c>
      <c r="G299" s="3">
        <v>4969.57</v>
      </c>
      <c r="H299" s="3">
        <v>85387.209999999992</v>
      </c>
      <c r="I299">
        <v>40</v>
      </c>
      <c r="J299" s="4">
        <v>1</v>
      </c>
      <c r="K299" s="3">
        <v>41.051543269230763</v>
      </c>
    </row>
    <row r="300" spans="1:11" x14ac:dyDescent="0.45">
      <c r="A300" t="s">
        <v>604</v>
      </c>
      <c r="B300" s="2" t="s">
        <v>12</v>
      </c>
      <c r="C300" t="s">
        <v>550</v>
      </c>
      <c r="D300" t="s">
        <v>605</v>
      </c>
      <c r="E300">
        <v>2</v>
      </c>
      <c r="F300" s="3">
        <v>88046.8</v>
      </c>
      <c r="G300" s="3">
        <v>14692.17</v>
      </c>
      <c r="H300" s="3">
        <v>102738.97</v>
      </c>
      <c r="I300">
        <v>40</v>
      </c>
      <c r="J300" s="4">
        <v>1</v>
      </c>
      <c r="K300" s="3">
        <v>49.393735576923078</v>
      </c>
    </row>
    <row r="301" spans="1:11" x14ac:dyDescent="0.45">
      <c r="A301" t="s">
        <v>606</v>
      </c>
      <c r="B301" s="2" t="s">
        <v>12</v>
      </c>
      <c r="C301" t="s">
        <v>550</v>
      </c>
      <c r="D301" t="s">
        <v>607</v>
      </c>
      <c r="E301">
        <v>8</v>
      </c>
      <c r="F301" s="3">
        <v>82257.89</v>
      </c>
      <c r="G301" s="3">
        <v>10405.030000000001</v>
      </c>
      <c r="H301" s="3">
        <v>92662.92</v>
      </c>
      <c r="I301">
        <v>40</v>
      </c>
      <c r="J301" s="4">
        <v>1</v>
      </c>
      <c r="K301" s="3">
        <v>44.549480769230769</v>
      </c>
    </row>
    <row r="302" spans="1:11" x14ac:dyDescent="0.45">
      <c r="A302" t="s">
        <v>608</v>
      </c>
      <c r="B302" s="5" t="s">
        <v>34</v>
      </c>
      <c r="C302" t="s">
        <v>550</v>
      </c>
      <c r="D302" t="s">
        <v>609</v>
      </c>
      <c r="E302">
        <v>4</v>
      </c>
      <c r="F302" s="3">
        <v>68783.75</v>
      </c>
      <c r="G302" s="3">
        <v>0</v>
      </c>
      <c r="H302" s="3">
        <v>68783.75</v>
      </c>
      <c r="I302">
        <v>40</v>
      </c>
      <c r="J302" s="4">
        <v>1</v>
      </c>
      <c r="K302" s="3">
        <v>33.06911057692308</v>
      </c>
    </row>
    <row r="303" spans="1:11" x14ac:dyDescent="0.45">
      <c r="A303" t="s">
        <v>610</v>
      </c>
      <c r="B303" s="5" t="s">
        <v>34</v>
      </c>
      <c r="C303" t="s">
        <v>550</v>
      </c>
      <c r="D303" t="s">
        <v>611</v>
      </c>
      <c r="E303">
        <v>2</v>
      </c>
      <c r="F303" s="3">
        <v>64363.199999999997</v>
      </c>
      <c r="G303" s="3">
        <v>9034.01</v>
      </c>
      <c r="H303" s="3">
        <v>73397.209999999992</v>
      </c>
      <c r="I303">
        <v>40</v>
      </c>
      <c r="J303" s="4">
        <v>0.75</v>
      </c>
      <c r="K303" s="3">
        <v>35.28712019230769</v>
      </c>
    </row>
    <row r="304" spans="1:11" x14ac:dyDescent="0.45">
      <c r="A304" t="s">
        <v>612</v>
      </c>
      <c r="B304" s="5" t="s">
        <v>34</v>
      </c>
      <c r="C304" t="s">
        <v>550</v>
      </c>
      <c r="D304" t="s">
        <v>613</v>
      </c>
      <c r="E304">
        <v>14</v>
      </c>
      <c r="F304" s="3">
        <v>71221.39</v>
      </c>
      <c r="G304" s="3">
        <v>0</v>
      </c>
      <c r="H304" s="3">
        <v>71221.39</v>
      </c>
      <c r="I304">
        <v>30</v>
      </c>
      <c r="J304" s="4">
        <v>0.5</v>
      </c>
      <c r="K304" s="3">
        <v>45.654737179487178</v>
      </c>
    </row>
    <row r="305" spans="1:11" x14ac:dyDescent="0.45">
      <c r="A305" t="s">
        <v>614</v>
      </c>
      <c r="B305" s="5" t="s">
        <v>34</v>
      </c>
      <c r="C305" t="s">
        <v>550</v>
      </c>
      <c r="D305" t="s">
        <v>615</v>
      </c>
      <c r="E305">
        <v>8</v>
      </c>
      <c r="F305" s="3">
        <v>75088.62</v>
      </c>
      <c r="G305" s="3">
        <v>0</v>
      </c>
      <c r="H305" s="3">
        <v>75088.62</v>
      </c>
      <c r="I305">
        <v>40</v>
      </c>
      <c r="J305" s="4">
        <v>1</v>
      </c>
      <c r="K305" s="3">
        <v>36.100298076923082</v>
      </c>
    </row>
    <row r="306" spans="1:11" x14ac:dyDescent="0.45">
      <c r="A306" t="s">
        <v>616</v>
      </c>
      <c r="B306" s="5" t="s">
        <v>34</v>
      </c>
      <c r="C306" t="s">
        <v>550</v>
      </c>
      <c r="D306" t="s">
        <v>617</v>
      </c>
      <c r="E306">
        <v>7</v>
      </c>
      <c r="F306" s="3">
        <v>70698.880000000005</v>
      </c>
      <c r="G306" s="3">
        <v>10230.68</v>
      </c>
      <c r="H306" s="3">
        <v>80929.56</v>
      </c>
      <c r="I306">
        <v>20</v>
      </c>
      <c r="J306" s="4">
        <v>1</v>
      </c>
      <c r="K306" s="3">
        <v>77.816884615384609</v>
      </c>
    </row>
    <row r="307" spans="1:11" x14ac:dyDescent="0.45">
      <c r="A307" t="s">
        <v>618</v>
      </c>
      <c r="B307" s="5" t="s">
        <v>34</v>
      </c>
      <c r="C307" t="s">
        <v>550</v>
      </c>
      <c r="D307" t="s">
        <v>619</v>
      </c>
      <c r="E307">
        <v>1</v>
      </c>
      <c r="F307" s="3">
        <v>68801.95</v>
      </c>
      <c r="G307" s="3">
        <v>8205.42</v>
      </c>
      <c r="H307" s="3">
        <v>77007.37</v>
      </c>
      <c r="I307">
        <v>40</v>
      </c>
      <c r="J307" s="4">
        <v>1</v>
      </c>
      <c r="K307" s="3">
        <v>37.022774038461527</v>
      </c>
    </row>
    <row r="308" spans="1:11" x14ac:dyDescent="0.45">
      <c r="A308" t="s">
        <v>620</v>
      </c>
      <c r="B308" s="5" t="s">
        <v>34</v>
      </c>
      <c r="C308" t="s">
        <v>550</v>
      </c>
      <c r="D308" t="s">
        <v>621</v>
      </c>
      <c r="E308">
        <v>3</v>
      </c>
      <c r="F308" s="3">
        <v>79164.649999999994</v>
      </c>
      <c r="G308" s="3">
        <v>14220.94</v>
      </c>
      <c r="H308" s="3">
        <v>93385.59</v>
      </c>
      <c r="I308">
        <v>20</v>
      </c>
      <c r="J308" s="4">
        <v>0.5</v>
      </c>
      <c r="K308" s="3">
        <v>89.793836538461534</v>
      </c>
    </row>
    <row r="309" spans="1:11" x14ac:dyDescent="0.45">
      <c r="A309" t="s">
        <v>622</v>
      </c>
      <c r="B309" s="5" t="s">
        <v>34</v>
      </c>
      <c r="C309" t="s">
        <v>550</v>
      </c>
      <c r="D309" t="s">
        <v>623</v>
      </c>
      <c r="E309">
        <v>1</v>
      </c>
      <c r="F309" s="3">
        <v>72152.66</v>
      </c>
      <c r="G309" s="3">
        <v>9606.94</v>
      </c>
      <c r="H309" s="3">
        <v>81759.600000000006</v>
      </c>
      <c r="I309">
        <v>30</v>
      </c>
      <c r="J309" s="4">
        <v>0.5</v>
      </c>
      <c r="K309" s="3">
        <v>52.41</v>
      </c>
    </row>
    <row r="310" spans="1:11" x14ac:dyDescent="0.45">
      <c r="A310" t="s">
        <v>624</v>
      </c>
      <c r="B310" s="5" t="s">
        <v>34</v>
      </c>
      <c r="C310" t="s">
        <v>550</v>
      </c>
      <c r="D310" t="s">
        <v>625</v>
      </c>
      <c r="E310">
        <v>4</v>
      </c>
      <c r="F310" s="3">
        <v>75279.69</v>
      </c>
      <c r="G310" s="3">
        <v>9134.77</v>
      </c>
      <c r="H310" s="3">
        <v>84414.46</v>
      </c>
      <c r="I310">
        <v>40</v>
      </c>
      <c r="J310" s="4">
        <v>0.75</v>
      </c>
      <c r="K310" s="3">
        <v>40.583875000000013</v>
      </c>
    </row>
    <row r="311" spans="1:11" x14ac:dyDescent="0.45">
      <c r="A311" t="s">
        <v>626</v>
      </c>
      <c r="B311" s="5" t="s">
        <v>34</v>
      </c>
      <c r="C311" t="s">
        <v>550</v>
      </c>
      <c r="D311" t="s">
        <v>627</v>
      </c>
      <c r="E311">
        <v>8</v>
      </c>
      <c r="F311" s="3">
        <v>63435.64</v>
      </c>
      <c r="G311" s="3">
        <v>0</v>
      </c>
      <c r="H311" s="3">
        <v>63435.64</v>
      </c>
      <c r="I311">
        <v>40</v>
      </c>
      <c r="J311" s="4">
        <v>0.5</v>
      </c>
      <c r="K311" s="3">
        <v>30.49790384615385</v>
      </c>
    </row>
    <row r="312" spans="1:11" x14ac:dyDescent="0.45">
      <c r="A312" t="s">
        <v>628</v>
      </c>
      <c r="B312" s="5" t="s">
        <v>34</v>
      </c>
      <c r="C312" t="s">
        <v>550</v>
      </c>
      <c r="D312" t="s">
        <v>629</v>
      </c>
      <c r="E312">
        <v>10</v>
      </c>
      <c r="F312" s="3">
        <v>75156.350000000006</v>
      </c>
      <c r="G312" s="3">
        <v>11735.16</v>
      </c>
      <c r="H312" s="3">
        <v>86891.510000000009</v>
      </c>
      <c r="I312">
        <v>20</v>
      </c>
      <c r="J312" s="4">
        <v>0.5</v>
      </c>
      <c r="K312" s="3">
        <v>83.549528846153862</v>
      </c>
    </row>
    <row r="313" spans="1:11" x14ac:dyDescent="0.45">
      <c r="A313" t="s">
        <v>630</v>
      </c>
      <c r="B313" s="5" t="s">
        <v>34</v>
      </c>
      <c r="C313" t="s">
        <v>550</v>
      </c>
      <c r="D313" t="s">
        <v>631</v>
      </c>
      <c r="E313">
        <v>9</v>
      </c>
      <c r="F313" s="3">
        <v>74371.8</v>
      </c>
      <c r="G313" s="3">
        <v>13958.88</v>
      </c>
      <c r="H313" s="3">
        <v>88330.680000000008</v>
      </c>
      <c r="I313">
        <v>30</v>
      </c>
      <c r="J313" s="4">
        <v>1</v>
      </c>
      <c r="K313" s="3">
        <v>56.622230769230782</v>
      </c>
    </row>
    <row r="314" spans="1:11" x14ac:dyDescent="0.45">
      <c r="A314" t="s">
        <v>632</v>
      </c>
      <c r="B314" s="5" t="s">
        <v>34</v>
      </c>
      <c r="C314" t="s">
        <v>550</v>
      </c>
      <c r="D314" t="s">
        <v>633</v>
      </c>
      <c r="E314">
        <v>8</v>
      </c>
      <c r="F314" s="3">
        <v>75864.19</v>
      </c>
      <c r="G314" s="3">
        <v>10972.46</v>
      </c>
      <c r="H314" s="3">
        <v>86836.65</v>
      </c>
      <c r="I314">
        <v>40</v>
      </c>
      <c r="J314" s="4">
        <v>1</v>
      </c>
      <c r="K314" s="3">
        <v>41.748389423076922</v>
      </c>
    </row>
    <row r="315" spans="1:11" x14ac:dyDescent="0.45">
      <c r="A315" t="s">
        <v>634</v>
      </c>
      <c r="B315" s="5" t="s">
        <v>34</v>
      </c>
      <c r="C315" t="s">
        <v>550</v>
      </c>
      <c r="D315" t="s">
        <v>635</v>
      </c>
      <c r="E315">
        <v>7</v>
      </c>
      <c r="F315" s="3">
        <v>63241.33</v>
      </c>
      <c r="G315" s="3">
        <v>0</v>
      </c>
      <c r="H315" s="3">
        <v>63241.33</v>
      </c>
      <c r="I315">
        <v>40</v>
      </c>
      <c r="J315" s="4">
        <v>0.5</v>
      </c>
      <c r="K315" s="3">
        <v>30.404485576923079</v>
      </c>
    </row>
    <row r="316" spans="1:11" x14ac:dyDescent="0.45">
      <c r="A316" t="s">
        <v>636</v>
      </c>
      <c r="B316" s="5" t="s">
        <v>34</v>
      </c>
      <c r="C316" t="s">
        <v>550</v>
      </c>
      <c r="D316" t="s">
        <v>637</v>
      </c>
      <c r="E316">
        <v>4</v>
      </c>
      <c r="F316" s="3">
        <v>80062.84</v>
      </c>
      <c r="G316" s="3">
        <v>11001.51</v>
      </c>
      <c r="H316" s="3">
        <v>91064.35</v>
      </c>
      <c r="I316">
        <v>40</v>
      </c>
      <c r="J316" s="4">
        <v>1</v>
      </c>
      <c r="K316" s="3">
        <v>43.780937499999993</v>
      </c>
    </row>
    <row r="317" spans="1:11" x14ac:dyDescent="0.45">
      <c r="A317" t="s">
        <v>638</v>
      </c>
      <c r="B317" s="5" t="s">
        <v>34</v>
      </c>
      <c r="C317" t="s">
        <v>550</v>
      </c>
      <c r="D317" t="s">
        <v>639</v>
      </c>
      <c r="E317">
        <v>9</v>
      </c>
      <c r="F317" s="3">
        <v>82102.240000000005</v>
      </c>
      <c r="G317" s="3">
        <v>0</v>
      </c>
      <c r="H317" s="3">
        <v>82102.240000000005</v>
      </c>
      <c r="I317">
        <v>40</v>
      </c>
      <c r="J317" s="4">
        <v>0.5</v>
      </c>
      <c r="K317" s="3">
        <v>39.472230769230769</v>
      </c>
    </row>
    <row r="318" spans="1:11" x14ac:dyDescent="0.45">
      <c r="A318" t="s">
        <v>640</v>
      </c>
      <c r="B318" s="5" t="s">
        <v>34</v>
      </c>
      <c r="C318" t="s">
        <v>550</v>
      </c>
      <c r="D318" t="s">
        <v>641</v>
      </c>
      <c r="E318">
        <v>8</v>
      </c>
      <c r="F318" s="3">
        <v>76510.81</v>
      </c>
      <c r="G318" s="3">
        <v>10240.08</v>
      </c>
      <c r="H318" s="3">
        <v>86750.89</v>
      </c>
      <c r="I318">
        <v>40</v>
      </c>
      <c r="J318" s="4">
        <v>0.5</v>
      </c>
      <c r="K318" s="3">
        <v>41.70715865384615</v>
      </c>
    </row>
    <row r="319" spans="1:11" x14ac:dyDescent="0.45">
      <c r="A319" t="s">
        <v>642</v>
      </c>
      <c r="B319" s="5" t="s">
        <v>34</v>
      </c>
      <c r="C319" t="s">
        <v>550</v>
      </c>
      <c r="D319" t="s">
        <v>643</v>
      </c>
      <c r="E319">
        <v>12</v>
      </c>
      <c r="F319" s="3">
        <v>63218.58</v>
      </c>
      <c r="G319" s="3">
        <v>0</v>
      </c>
      <c r="H319" s="3">
        <v>63218.58</v>
      </c>
      <c r="I319">
        <v>40</v>
      </c>
      <c r="J319" s="4">
        <v>1</v>
      </c>
      <c r="K319" s="3">
        <v>30.393548076923079</v>
      </c>
    </row>
    <row r="320" spans="1:11" x14ac:dyDescent="0.45">
      <c r="A320" t="s">
        <v>644</v>
      </c>
      <c r="B320" s="5" t="s">
        <v>34</v>
      </c>
      <c r="C320" t="s">
        <v>550</v>
      </c>
      <c r="D320" t="s">
        <v>645</v>
      </c>
      <c r="E320">
        <v>11</v>
      </c>
      <c r="F320" s="3">
        <v>69032.11</v>
      </c>
      <c r="G320" s="3">
        <v>5669.53</v>
      </c>
      <c r="H320" s="3">
        <v>74701.64</v>
      </c>
      <c r="I320">
        <v>40</v>
      </c>
      <c r="J320" s="4">
        <v>1</v>
      </c>
      <c r="K320" s="3">
        <v>35.914250000000003</v>
      </c>
    </row>
    <row r="321" spans="1:11" x14ac:dyDescent="0.45">
      <c r="A321" t="s">
        <v>646</v>
      </c>
      <c r="B321" s="5" t="s">
        <v>34</v>
      </c>
      <c r="C321" t="s">
        <v>550</v>
      </c>
      <c r="D321" t="s">
        <v>647</v>
      </c>
      <c r="E321">
        <v>3</v>
      </c>
      <c r="F321" s="3">
        <v>82799.5</v>
      </c>
      <c r="G321" s="3">
        <v>7813.69</v>
      </c>
      <c r="H321" s="3">
        <v>90613.19</v>
      </c>
      <c r="I321">
        <v>20</v>
      </c>
      <c r="J321" s="4">
        <v>0.5</v>
      </c>
      <c r="K321" s="3">
        <v>87.128067307692305</v>
      </c>
    </row>
    <row r="322" spans="1:11" x14ac:dyDescent="0.45">
      <c r="A322" t="s">
        <v>648</v>
      </c>
      <c r="B322" s="5" t="s">
        <v>34</v>
      </c>
      <c r="C322" t="s">
        <v>550</v>
      </c>
      <c r="D322" t="s">
        <v>649</v>
      </c>
      <c r="E322">
        <v>1</v>
      </c>
      <c r="F322" s="3">
        <v>79238.59</v>
      </c>
      <c r="G322" s="3">
        <v>0</v>
      </c>
      <c r="H322" s="3">
        <v>79238.59</v>
      </c>
      <c r="I322">
        <v>40</v>
      </c>
      <c r="J322" s="4">
        <v>0.5</v>
      </c>
      <c r="K322" s="3">
        <v>38.095475961538462</v>
      </c>
    </row>
    <row r="323" spans="1:11" x14ac:dyDescent="0.45">
      <c r="A323" t="s">
        <v>650</v>
      </c>
      <c r="B323" s="5" t="s">
        <v>34</v>
      </c>
      <c r="C323" t="s">
        <v>550</v>
      </c>
      <c r="D323" t="s">
        <v>651</v>
      </c>
      <c r="E323">
        <v>4</v>
      </c>
      <c r="F323" s="3">
        <v>64030.66</v>
      </c>
      <c r="G323" s="3">
        <v>4759.8500000000004</v>
      </c>
      <c r="H323" s="3">
        <v>68790.510000000009</v>
      </c>
      <c r="I323">
        <v>30</v>
      </c>
      <c r="J323" s="4">
        <v>1</v>
      </c>
      <c r="K323" s="3">
        <v>44.096480769230773</v>
      </c>
    </row>
    <row r="324" spans="1:11" x14ac:dyDescent="0.45">
      <c r="A324" t="s">
        <v>652</v>
      </c>
      <c r="B324" s="5" t="s">
        <v>34</v>
      </c>
      <c r="C324" t="s">
        <v>550</v>
      </c>
      <c r="D324" t="s">
        <v>653</v>
      </c>
      <c r="E324">
        <v>6</v>
      </c>
      <c r="F324" s="3">
        <v>70074.55</v>
      </c>
      <c r="G324" s="3">
        <v>0</v>
      </c>
      <c r="H324" s="3">
        <v>70074.55</v>
      </c>
      <c r="I324">
        <v>30</v>
      </c>
      <c r="J324" s="4">
        <v>0.5</v>
      </c>
      <c r="K324" s="3">
        <v>44.919583333333343</v>
      </c>
    </row>
    <row r="325" spans="1:11" x14ac:dyDescent="0.45">
      <c r="A325" t="s">
        <v>654</v>
      </c>
      <c r="B325" s="5" t="s">
        <v>34</v>
      </c>
      <c r="C325" t="s">
        <v>550</v>
      </c>
      <c r="D325" t="s">
        <v>655</v>
      </c>
      <c r="E325">
        <v>11</v>
      </c>
      <c r="F325" s="3">
        <v>67354.44</v>
      </c>
      <c r="G325" s="3">
        <v>0</v>
      </c>
      <c r="H325" s="3">
        <v>67354.44</v>
      </c>
      <c r="I325">
        <v>40</v>
      </c>
      <c r="J325" s="4">
        <v>0.5</v>
      </c>
      <c r="K325" s="3">
        <v>32.381942307692313</v>
      </c>
    </row>
    <row r="326" spans="1:11" x14ac:dyDescent="0.45">
      <c r="A326" t="s">
        <v>656</v>
      </c>
      <c r="B326" s="5" t="s">
        <v>34</v>
      </c>
      <c r="C326" t="s">
        <v>550</v>
      </c>
      <c r="D326" t="s">
        <v>657</v>
      </c>
      <c r="E326">
        <v>11</v>
      </c>
      <c r="F326" s="3">
        <v>66366.039999999994</v>
      </c>
      <c r="G326" s="3">
        <v>0</v>
      </c>
      <c r="H326" s="3">
        <v>66366.039999999994</v>
      </c>
      <c r="I326">
        <v>40</v>
      </c>
      <c r="J326" s="4">
        <v>1</v>
      </c>
      <c r="K326" s="3">
        <v>31.906749999999999</v>
      </c>
    </row>
    <row r="327" spans="1:11" x14ac:dyDescent="0.45">
      <c r="A327" t="s">
        <v>658</v>
      </c>
      <c r="B327" s="5" t="s">
        <v>34</v>
      </c>
      <c r="C327" t="s">
        <v>550</v>
      </c>
      <c r="D327" t="s">
        <v>659</v>
      </c>
      <c r="E327">
        <v>10</v>
      </c>
      <c r="F327" s="3">
        <v>75851.429999999993</v>
      </c>
      <c r="G327" s="3">
        <v>0</v>
      </c>
      <c r="H327" s="3">
        <v>75851.429999999993</v>
      </c>
      <c r="I327">
        <v>30</v>
      </c>
      <c r="J327" s="4">
        <v>1</v>
      </c>
      <c r="K327" s="3">
        <v>48.622711538461537</v>
      </c>
    </row>
    <row r="328" spans="1:11" x14ac:dyDescent="0.45">
      <c r="A328" t="s">
        <v>660</v>
      </c>
      <c r="B328" s="5" t="s">
        <v>34</v>
      </c>
      <c r="C328" t="s">
        <v>550</v>
      </c>
      <c r="D328" t="s">
        <v>661</v>
      </c>
      <c r="E328">
        <v>10</v>
      </c>
      <c r="F328" s="3">
        <v>78007.48</v>
      </c>
      <c r="G328" s="3">
        <v>0</v>
      </c>
      <c r="H328" s="3">
        <v>78007.48</v>
      </c>
      <c r="I328">
        <v>40</v>
      </c>
      <c r="J328" s="4">
        <v>1</v>
      </c>
      <c r="K328" s="3">
        <v>37.503596153846154</v>
      </c>
    </row>
    <row r="329" spans="1:11" x14ac:dyDescent="0.45">
      <c r="A329" t="s">
        <v>662</v>
      </c>
      <c r="B329" s="5" t="s">
        <v>34</v>
      </c>
      <c r="C329" t="s">
        <v>550</v>
      </c>
      <c r="D329" t="s">
        <v>663</v>
      </c>
      <c r="E329">
        <v>11</v>
      </c>
      <c r="F329" s="3">
        <v>78507.199999999997</v>
      </c>
      <c r="G329" s="3">
        <v>6869.42</v>
      </c>
      <c r="H329" s="3">
        <v>85376.62</v>
      </c>
      <c r="I329">
        <v>40</v>
      </c>
      <c r="J329" s="4">
        <v>0.5</v>
      </c>
      <c r="K329" s="3">
        <v>41.046451923076923</v>
      </c>
    </row>
    <row r="330" spans="1:11" x14ac:dyDescent="0.45">
      <c r="A330" t="s">
        <v>664</v>
      </c>
      <c r="B330" s="5" t="s">
        <v>34</v>
      </c>
      <c r="C330" t="s">
        <v>550</v>
      </c>
      <c r="D330" t="s">
        <v>665</v>
      </c>
      <c r="E330">
        <v>12</v>
      </c>
      <c r="F330" s="3">
        <v>81380.740000000005</v>
      </c>
      <c r="G330" s="3">
        <v>0</v>
      </c>
      <c r="H330" s="3">
        <v>81380.740000000005</v>
      </c>
      <c r="I330">
        <v>40</v>
      </c>
      <c r="J330" s="4">
        <v>1</v>
      </c>
      <c r="K330" s="3">
        <v>39.125355769230772</v>
      </c>
    </row>
    <row r="331" spans="1:11" x14ac:dyDescent="0.45">
      <c r="A331" t="s">
        <v>666</v>
      </c>
      <c r="B331" s="5" t="s">
        <v>34</v>
      </c>
      <c r="C331" t="s">
        <v>550</v>
      </c>
      <c r="D331" t="s">
        <v>667</v>
      </c>
      <c r="E331">
        <v>12</v>
      </c>
      <c r="F331" s="3">
        <v>63011.7</v>
      </c>
      <c r="G331" s="3">
        <v>7397.44</v>
      </c>
      <c r="H331" s="3">
        <v>70409.14</v>
      </c>
      <c r="I331">
        <v>40</v>
      </c>
      <c r="J331" s="4">
        <v>0.75</v>
      </c>
      <c r="K331" s="3">
        <v>33.850548076923083</v>
      </c>
    </row>
    <row r="332" spans="1:11" x14ac:dyDescent="0.45">
      <c r="A332" t="s">
        <v>668</v>
      </c>
      <c r="B332" s="2" t="s">
        <v>12</v>
      </c>
      <c r="C332" t="s">
        <v>669</v>
      </c>
      <c r="D332" t="s">
        <v>670</v>
      </c>
      <c r="E332">
        <v>11</v>
      </c>
      <c r="F332" s="3">
        <v>48263.27</v>
      </c>
      <c r="G332" s="3">
        <v>0</v>
      </c>
      <c r="H332" s="3">
        <v>48263.27</v>
      </c>
      <c r="I332">
        <v>40</v>
      </c>
      <c r="J332" s="4">
        <v>1</v>
      </c>
      <c r="K332" s="3">
        <v>23.203495192307692</v>
      </c>
    </row>
    <row r="333" spans="1:11" x14ac:dyDescent="0.45">
      <c r="A333" t="s">
        <v>671</v>
      </c>
      <c r="B333" s="2" t="s">
        <v>12</v>
      </c>
      <c r="C333" t="s">
        <v>669</v>
      </c>
      <c r="D333" t="s">
        <v>672</v>
      </c>
      <c r="E333">
        <v>10</v>
      </c>
      <c r="F333" s="3">
        <v>61346.39</v>
      </c>
      <c r="G333" s="3">
        <v>0</v>
      </c>
      <c r="H333" s="3">
        <v>61346.39</v>
      </c>
      <c r="I333">
        <v>40</v>
      </c>
      <c r="J333" s="4">
        <v>1</v>
      </c>
      <c r="K333" s="3">
        <v>29.493456730769228</v>
      </c>
    </row>
    <row r="334" spans="1:11" x14ac:dyDescent="0.45">
      <c r="A334" t="s">
        <v>673</v>
      </c>
      <c r="B334" s="2" t="s">
        <v>12</v>
      </c>
      <c r="C334" t="s">
        <v>669</v>
      </c>
      <c r="D334" t="s">
        <v>674</v>
      </c>
      <c r="E334">
        <v>6</v>
      </c>
      <c r="F334" s="3">
        <v>47628.74</v>
      </c>
      <c r="G334" s="3">
        <v>0</v>
      </c>
      <c r="H334" s="3">
        <v>47628.74</v>
      </c>
      <c r="I334">
        <v>40</v>
      </c>
      <c r="J334" s="4">
        <v>1</v>
      </c>
      <c r="K334" s="3">
        <v>22.89843269230769</v>
      </c>
    </row>
    <row r="335" spans="1:11" x14ac:dyDescent="0.45">
      <c r="A335" t="s">
        <v>675</v>
      </c>
      <c r="B335" s="2" t="s">
        <v>12</v>
      </c>
      <c r="C335" t="s">
        <v>669</v>
      </c>
      <c r="D335" t="s">
        <v>676</v>
      </c>
      <c r="E335">
        <v>8</v>
      </c>
      <c r="F335" s="3">
        <v>53121.74</v>
      </c>
      <c r="G335" s="3">
        <v>4445.2700000000004</v>
      </c>
      <c r="H335" s="3">
        <v>57567.01</v>
      </c>
      <c r="I335">
        <v>40</v>
      </c>
      <c r="J335" s="4">
        <v>1</v>
      </c>
      <c r="K335" s="3">
        <v>27.676447115384612</v>
      </c>
    </row>
    <row r="336" spans="1:11" x14ac:dyDescent="0.45">
      <c r="A336" t="s">
        <v>677</v>
      </c>
      <c r="B336" s="2" t="s">
        <v>12</v>
      </c>
      <c r="C336" t="s">
        <v>669</v>
      </c>
      <c r="D336" t="s">
        <v>678</v>
      </c>
      <c r="E336">
        <v>8</v>
      </c>
      <c r="F336" s="3">
        <v>62108.63</v>
      </c>
      <c r="G336" s="3">
        <v>0</v>
      </c>
      <c r="H336" s="3">
        <v>62108.63</v>
      </c>
      <c r="I336">
        <v>40</v>
      </c>
      <c r="J336" s="4">
        <v>1</v>
      </c>
      <c r="K336" s="3">
        <v>29.859918269230771</v>
      </c>
    </row>
    <row r="337" spans="1:11" x14ac:dyDescent="0.45">
      <c r="A337" t="s">
        <v>679</v>
      </c>
      <c r="B337" s="2" t="s">
        <v>12</v>
      </c>
      <c r="C337" t="s">
        <v>669</v>
      </c>
      <c r="D337" t="s">
        <v>680</v>
      </c>
      <c r="E337">
        <v>11</v>
      </c>
      <c r="F337" s="3">
        <v>59807.78</v>
      </c>
      <c r="G337" s="3">
        <v>5564.03</v>
      </c>
      <c r="H337" s="3">
        <v>65371.81</v>
      </c>
      <c r="I337">
        <v>40</v>
      </c>
      <c r="J337" s="4">
        <v>1</v>
      </c>
      <c r="K337" s="3">
        <v>31.428754807692311</v>
      </c>
    </row>
    <row r="338" spans="1:11" x14ac:dyDescent="0.45">
      <c r="A338" t="s">
        <v>681</v>
      </c>
      <c r="B338" s="2" t="s">
        <v>12</v>
      </c>
      <c r="C338" t="s">
        <v>669</v>
      </c>
      <c r="D338" t="s">
        <v>682</v>
      </c>
      <c r="E338">
        <v>11</v>
      </c>
      <c r="F338" s="3">
        <v>58235.19</v>
      </c>
      <c r="G338" s="3">
        <v>9074.81</v>
      </c>
      <c r="H338" s="3">
        <v>67310</v>
      </c>
      <c r="I338">
        <v>40</v>
      </c>
      <c r="J338" s="4">
        <v>1</v>
      </c>
      <c r="K338" s="3">
        <v>32.36057692307692</v>
      </c>
    </row>
    <row r="339" spans="1:11" x14ac:dyDescent="0.45">
      <c r="A339" t="s">
        <v>683</v>
      </c>
      <c r="B339" s="2" t="s">
        <v>12</v>
      </c>
      <c r="C339" t="s">
        <v>669</v>
      </c>
      <c r="D339" t="s">
        <v>684</v>
      </c>
      <c r="E339">
        <v>1</v>
      </c>
      <c r="F339" s="3">
        <v>56903.25</v>
      </c>
      <c r="G339" s="3">
        <v>0</v>
      </c>
      <c r="H339" s="3">
        <v>56903.25</v>
      </c>
      <c r="I339">
        <v>40</v>
      </c>
      <c r="J339" s="4">
        <v>1</v>
      </c>
      <c r="K339" s="3">
        <v>27.357331730769229</v>
      </c>
    </row>
    <row r="340" spans="1:11" x14ac:dyDescent="0.45">
      <c r="A340" t="s">
        <v>685</v>
      </c>
      <c r="B340" s="2" t="s">
        <v>12</v>
      </c>
      <c r="C340" t="s">
        <v>669</v>
      </c>
      <c r="D340" t="s">
        <v>686</v>
      </c>
      <c r="E340">
        <v>13</v>
      </c>
      <c r="F340" s="3">
        <v>50972.74</v>
      </c>
      <c r="G340" s="3">
        <v>0</v>
      </c>
      <c r="H340" s="3">
        <v>50972.74</v>
      </c>
      <c r="I340">
        <v>40</v>
      </c>
      <c r="J340" s="4">
        <v>1</v>
      </c>
      <c r="K340" s="3">
        <v>24.506125000000001</v>
      </c>
    </row>
    <row r="341" spans="1:11" x14ac:dyDescent="0.45">
      <c r="A341" t="s">
        <v>687</v>
      </c>
      <c r="B341" s="2" t="s">
        <v>12</v>
      </c>
      <c r="C341" t="s">
        <v>669</v>
      </c>
      <c r="D341" t="s">
        <v>688</v>
      </c>
      <c r="E341">
        <v>10</v>
      </c>
      <c r="F341" s="3">
        <v>62263.73</v>
      </c>
      <c r="G341" s="3">
        <v>0</v>
      </c>
      <c r="H341" s="3">
        <v>62263.73</v>
      </c>
      <c r="I341">
        <v>40</v>
      </c>
      <c r="J341" s="4">
        <v>1</v>
      </c>
      <c r="K341" s="3">
        <v>29.93448557692308</v>
      </c>
    </row>
    <row r="342" spans="1:11" x14ac:dyDescent="0.45">
      <c r="A342" t="s">
        <v>689</v>
      </c>
      <c r="B342" s="2" t="s">
        <v>12</v>
      </c>
      <c r="C342" t="s">
        <v>669</v>
      </c>
      <c r="D342" t="s">
        <v>690</v>
      </c>
      <c r="E342">
        <v>2</v>
      </c>
      <c r="F342" s="3">
        <v>48584.58</v>
      </c>
      <c r="G342" s="3">
        <v>4623.92</v>
      </c>
      <c r="H342" s="3">
        <v>53208.5</v>
      </c>
      <c r="I342">
        <v>40</v>
      </c>
      <c r="J342" s="4">
        <v>1</v>
      </c>
      <c r="K342" s="3">
        <v>25.58100961538462</v>
      </c>
    </row>
    <row r="343" spans="1:11" x14ac:dyDescent="0.45">
      <c r="A343" t="s">
        <v>691</v>
      </c>
      <c r="B343" s="2" t="s">
        <v>12</v>
      </c>
      <c r="C343" t="s">
        <v>669</v>
      </c>
      <c r="D343" t="s">
        <v>692</v>
      </c>
      <c r="E343">
        <v>14</v>
      </c>
      <c r="F343" s="3">
        <v>50684.25</v>
      </c>
      <c r="G343" s="3">
        <v>0</v>
      </c>
      <c r="H343" s="3">
        <v>50684.25</v>
      </c>
      <c r="I343">
        <v>40</v>
      </c>
      <c r="J343" s="4">
        <v>1</v>
      </c>
      <c r="K343" s="3">
        <v>24.367427884615381</v>
      </c>
    </row>
    <row r="344" spans="1:11" x14ac:dyDescent="0.45">
      <c r="A344" t="s">
        <v>693</v>
      </c>
      <c r="B344" s="2" t="s">
        <v>12</v>
      </c>
      <c r="C344" t="s">
        <v>669</v>
      </c>
      <c r="D344" t="s">
        <v>694</v>
      </c>
      <c r="E344">
        <v>14</v>
      </c>
      <c r="F344" s="3">
        <v>54292.37</v>
      </c>
      <c r="G344" s="3">
        <v>10086</v>
      </c>
      <c r="H344" s="3">
        <v>64378.37</v>
      </c>
      <c r="I344">
        <v>40</v>
      </c>
      <c r="J344" s="4">
        <v>1</v>
      </c>
      <c r="K344" s="3">
        <v>30.951139423076921</v>
      </c>
    </row>
    <row r="345" spans="1:11" x14ac:dyDescent="0.45">
      <c r="A345" t="s">
        <v>695</v>
      </c>
      <c r="B345" s="2" t="s">
        <v>12</v>
      </c>
      <c r="C345" t="s">
        <v>669</v>
      </c>
      <c r="D345" t="s">
        <v>696</v>
      </c>
      <c r="E345">
        <v>13</v>
      </c>
      <c r="F345" s="3">
        <v>55594.89</v>
      </c>
      <c r="G345" s="3">
        <v>0</v>
      </c>
      <c r="H345" s="3">
        <v>55594.89</v>
      </c>
      <c r="I345">
        <v>40</v>
      </c>
      <c r="J345" s="4">
        <v>1</v>
      </c>
      <c r="K345" s="3">
        <v>26.728312500000001</v>
      </c>
    </row>
    <row r="346" spans="1:11" x14ac:dyDescent="0.45">
      <c r="A346" t="s">
        <v>697</v>
      </c>
      <c r="B346" s="2" t="s">
        <v>12</v>
      </c>
      <c r="C346" t="s">
        <v>669</v>
      </c>
      <c r="D346" t="s">
        <v>698</v>
      </c>
      <c r="E346">
        <v>14</v>
      </c>
      <c r="F346" s="3">
        <v>50741.98</v>
      </c>
      <c r="G346" s="3">
        <v>5804.16</v>
      </c>
      <c r="H346" s="3">
        <v>56546.14</v>
      </c>
      <c r="I346">
        <v>40</v>
      </c>
      <c r="J346" s="4">
        <v>1</v>
      </c>
      <c r="K346" s="3">
        <v>27.185644230769231</v>
      </c>
    </row>
    <row r="347" spans="1:11" x14ac:dyDescent="0.45">
      <c r="A347" t="s">
        <v>699</v>
      </c>
      <c r="B347" s="2" t="s">
        <v>12</v>
      </c>
      <c r="C347" t="s">
        <v>669</v>
      </c>
      <c r="D347" t="s">
        <v>700</v>
      </c>
      <c r="E347">
        <v>5</v>
      </c>
      <c r="F347" s="3">
        <v>52571.46</v>
      </c>
      <c r="G347" s="3">
        <v>0</v>
      </c>
      <c r="H347" s="3">
        <v>52571.46</v>
      </c>
      <c r="I347">
        <v>40</v>
      </c>
      <c r="J347" s="4">
        <v>1</v>
      </c>
      <c r="K347" s="3">
        <v>25.274740384615381</v>
      </c>
    </row>
    <row r="348" spans="1:11" x14ac:dyDescent="0.45">
      <c r="A348" t="s">
        <v>701</v>
      </c>
      <c r="B348" s="2" t="s">
        <v>12</v>
      </c>
      <c r="C348" t="s">
        <v>669</v>
      </c>
      <c r="D348" t="s">
        <v>702</v>
      </c>
      <c r="E348">
        <v>2</v>
      </c>
      <c r="F348" s="3">
        <v>57712.13</v>
      </c>
      <c r="G348" s="3">
        <v>11323.01</v>
      </c>
      <c r="H348" s="3">
        <v>69035.14</v>
      </c>
      <c r="I348">
        <v>40</v>
      </c>
      <c r="J348" s="4">
        <v>1</v>
      </c>
      <c r="K348" s="3">
        <v>33.189971153846152</v>
      </c>
    </row>
    <row r="349" spans="1:11" x14ac:dyDescent="0.45">
      <c r="A349" t="s">
        <v>703</v>
      </c>
      <c r="B349" s="2" t="s">
        <v>12</v>
      </c>
      <c r="C349" t="s">
        <v>669</v>
      </c>
      <c r="D349" t="s">
        <v>70</v>
      </c>
      <c r="E349">
        <v>12</v>
      </c>
      <c r="F349" s="3">
        <v>62481.16</v>
      </c>
      <c r="G349" s="3">
        <v>0</v>
      </c>
      <c r="H349" s="3">
        <v>62481.16</v>
      </c>
      <c r="I349">
        <v>40</v>
      </c>
      <c r="J349" s="4">
        <v>1</v>
      </c>
      <c r="K349" s="3">
        <v>30.039019230769231</v>
      </c>
    </row>
    <row r="350" spans="1:11" x14ac:dyDescent="0.45">
      <c r="A350" t="s">
        <v>704</v>
      </c>
      <c r="B350" s="2" t="s">
        <v>12</v>
      </c>
      <c r="C350" t="s">
        <v>669</v>
      </c>
      <c r="D350" t="s">
        <v>705</v>
      </c>
      <c r="E350">
        <v>11</v>
      </c>
      <c r="F350" s="3">
        <v>55893.51</v>
      </c>
      <c r="G350" s="3">
        <v>0</v>
      </c>
      <c r="H350" s="3">
        <v>55893.51</v>
      </c>
      <c r="I350">
        <v>40</v>
      </c>
      <c r="J350" s="4">
        <v>1</v>
      </c>
      <c r="K350" s="3">
        <v>26.871879807692309</v>
      </c>
    </row>
    <row r="351" spans="1:11" x14ac:dyDescent="0.45">
      <c r="A351" t="s">
        <v>706</v>
      </c>
      <c r="B351" s="2" t="s">
        <v>12</v>
      </c>
      <c r="C351" t="s">
        <v>669</v>
      </c>
      <c r="D351" t="s">
        <v>707</v>
      </c>
      <c r="E351">
        <v>9</v>
      </c>
      <c r="F351" s="3">
        <v>47468.32</v>
      </c>
      <c r="G351" s="3">
        <v>0</v>
      </c>
      <c r="H351" s="3">
        <v>47468.32</v>
      </c>
      <c r="I351">
        <v>40</v>
      </c>
      <c r="J351" s="4">
        <v>1</v>
      </c>
      <c r="K351" s="3">
        <v>22.821307692307691</v>
      </c>
    </row>
    <row r="352" spans="1:11" x14ac:dyDescent="0.45">
      <c r="A352" t="s">
        <v>708</v>
      </c>
      <c r="B352" s="2" t="s">
        <v>12</v>
      </c>
      <c r="C352" t="s">
        <v>669</v>
      </c>
      <c r="D352" t="s">
        <v>709</v>
      </c>
      <c r="E352">
        <v>8</v>
      </c>
      <c r="F352" s="3">
        <v>50935.23</v>
      </c>
      <c r="G352" s="3">
        <v>8571.2800000000007</v>
      </c>
      <c r="H352" s="3">
        <v>59506.51</v>
      </c>
      <c r="I352">
        <v>40</v>
      </c>
      <c r="J352" s="4">
        <v>1</v>
      </c>
      <c r="K352" s="3">
        <v>28.608899038461541</v>
      </c>
    </row>
    <row r="353" spans="1:11" x14ac:dyDescent="0.45">
      <c r="A353" t="s">
        <v>710</v>
      </c>
      <c r="B353" s="2" t="s">
        <v>12</v>
      </c>
      <c r="C353" t="s">
        <v>669</v>
      </c>
      <c r="D353" t="s">
        <v>711</v>
      </c>
      <c r="E353">
        <v>3</v>
      </c>
      <c r="F353" s="3">
        <v>50728.58</v>
      </c>
      <c r="G353" s="3">
        <v>0</v>
      </c>
      <c r="H353" s="3">
        <v>50728.58</v>
      </c>
      <c r="I353">
        <v>40</v>
      </c>
      <c r="J353" s="4">
        <v>1</v>
      </c>
      <c r="K353" s="3">
        <v>24.388740384615389</v>
      </c>
    </row>
    <row r="354" spans="1:11" x14ac:dyDescent="0.45">
      <c r="A354" t="s">
        <v>712</v>
      </c>
      <c r="B354" s="2" t="s">
        <v>12</v>
      </c>
      <c r="C354" t="s">
        <v>669</v>
      </c>
      <c r="D354" t="s">
        <v>713</v>
      </c>
      <c r="E354">
        <v>8</v>
      </c>
      <c r="F354" s="3">
        <v>59479.77</v>
      </c>
      <c r="G354" s="3">
        <v>0</v>
      </c>
      <c r="H354" s="3">
        <v>59479.77</v>
      </c>
      <c r="I354">
        <v>40</v>
      </c>
      <c r="J354" s="4">
        <v>1</v>
      </c>
      <c r="K354" s="3">
        <v>28.596043269230769</v>
      </c>
    </row>
    <row r="355" spans="1:11" x14ac:dyDescent="0.45">
      <c r="A355" t="s">
        <v>714</v>
      </c>
      <c r="B355" s="2" t="s">
        <v>12</v>
      </c>
      <c r="C355" t="s">
        <v>669</v>
      </c>
      <c r="D355" t="s">
        <v>435</v>
      </c>
      <c r="E355">
        <v>8</v>
      </c>
      <c r="F355" s="3">
        <v>48951.26</v>
      </c>
      <c r="G355" s="3">
        <v>0</v>
      </c>
      <c r="H355" s="3">
        <v>48951.26</v>
      </c>
      <c r="I355">
        <v>40</v>
      </c>
      <c r="J355" s="4">
        <v>1</v>
      </c>
      <c r="K355" s="3">
        <v>23.53425961538462</v>
      </c>
    </row>
    <row r="356" spans="1:11" x14ac:dyDescent="0.45">
      <c r="A356" t="s">
        <v>715</v>
      </c>
      <c r="B356" s="2" t="s">
        <v>12</v>
      </c>
      <c r="C356" t="s">
        <v>669</v>
      </c>
      <c r="D356" t="s">
        <v>716</v>
      </c>
      <c r="E356">
        <v>11</v>
      </c>
      <c r="F356" s="3">
        <v>60172.9</v>
      </c>
      <c r="G356" s="3">
        <v>10041.14</v>
      </c>
      <c r="H356" s="3">
        <v>70214.040000000008</v>
      </c>
      <c r="I356">
        <v>40</v>
      </c>
      <c r="J356" s="4">
        <v>1</v>
      </c>
      <c r="K356" s="3">
        <v>33.756749999999997</v>
      </c>
    </row>
    <row r="357" spans="1:11" x14ac:dyDescent="0.45">
      <c r="A357" t="s">
        <v>717</v>
      </c>
      <c r="B357" s="2" t="s">
        <v>12</v>
      </c>
      <c r="C357" t="s">
        <v>669</v>
      </c>
      <c r="D357" t="s">
        <v>718</v>
      </c>
      <c r="E357">
        <v>5</v>
      </c>
      <c r="F357" s="3">
        <v>62933.52</v>
      </c>
      <c r="G357" s="3">
        <v>0</v>
      </c>
      <c r="H357" s="3">
        <v>62933.52</v>
      </c>
      <c r="I357">
        <v>40</v>
      </c>
      <c r="J357" s="4">
        <v>1</v>
      </c>
      <c r="K357" s="3">
        <v>30.256499999999999</v>
      </c>
    </row>
    <row r="358" spans="1:11" x14ac:dyDescent="0.45">
      <c r="A358" t="s">
        <v>719</v>
      </c>
      <c r="B358" s="2" t="s">
        <v>12</v>
      </c>
      <c r="C358" t="s">
        <v>669</v>
      </c>
      <c r="D358" t="s">
        <v>720</v>
      </c>
      <c r="E358">
        <v>11</v>
      </c>
      <c r="F358" s="3">
        <v>60139.71</v>
      </c>
      <c r="G358" s="3">
        <v>10008.969999999999</v>
      </c>
      <c r="H358" s="3">
        <v>70148.679999999993</v>
      </c>
      <c r="I358">
        <v>40</v>
      </c>
      <c r="J358" s="4">
        <v>1</v>
      </c>
      <c r="K358" s="3">
        <v>33.725326923076921</v>
      </c>
    </row>
    <row r="359" spans="1:11" x14ac:dyDescent="0.45">
      <c r="A359" t="s">
        <v>721</v>
      </c>
      <c r="B359" s="2" t="s">
        <v>12</v>
      </c>
      <c r="C359" t="s">
        <v>669</v>
      </c>
      <c r="D359" t="s">
        <v>722</v>
      </c>
      <c r="E359">
        <v>1</v>
      </c>
      <c r="F359" s="3">
        <v>47360.23</v>
      </c>
      <c r="G359" s="3">
        <v>7988.08</v>
      </c>
      <c r="H359" s="3">
        <v>55348.31</v>
      </c>
      <c r="I359">
        <v>40</v>
      </c>
      <c r="J359" s="4">
        <v>1</v>
      </c>
      <c r="K359" s="3">
        <v>26.609764423076921</v>
      </c>
    </row>
    <row r="360" spans="1:11" x14ac:dyDescent="0.45">
      <c r="A360" t="s">
        <v>723</v>
      </c>
      <c r="B360" s="2" t="s">
        <v>12</v>
      </c>
      <c r="C360" t="s">
        <v>669</v>
      </c>
      <c r="D360" t="s">
        <v>724</v>
      </c>
      <c r="E360">
        <v>9</v>
      </c>
      <c r="F360" s="3">
        <v>51957.33</v>
      </c>
      <c r="G360" s="3">
        <v>0</v>
      </c>
      <c r="H360" s="3">
        <v>51957.33</v>
      </c>
      <c r="I360">
        <v>40</v>
      </c>
      <c r="J360" s="4">
        <v>1</v>
      </c>
      <c r="K360" s="3">
        <v>24.979485576923079</v>
      </c>
    </row>
    <row r="361" spans="1:11" x14ac:dyDescent="0.45">
      <c r="A361" t="s">
        <v>725</v>
      </c>
      <c r="B361" s="2" t="s">
        <v>12</v>
      </c>
      <c r="C361" t="s">
        <v>669</v>
      </c>
      <c r="D361" t="s">
        <v>726</v>
      </c>
      <c r="E361">
        <v>6</v>
      </c>
      <c r="F361" s="3">
        <v>63070.52</v>
      </c>
      <c r="G361" s="3">
        <v>0</v>
      </c>
      <c r="H361" s="3">
        <v>63070.52</v>
      </c>
      <c r="I361">
        <v>40</v>
      </c>
      <c r="J361" s="4">
        <v>1</v>
      </c>
      <c r="K361" s="3">
        <v>30.322365384615381</v>
      </c>
    </row>
    <row r="362" spans="1:11" x14ac:dyDescent="0.45">
      <c r="A362" t="s">
        <v>727</v>
      </c>
      <c r="B362" s="2" t="s">
        <v>12</v>
      </c>
      <c r="C362" t="s">
        <v>669</v>
      </c>
      <c r="D362" t="s">
        <v>728</v>
      </c>
      <c r="E362">
        <v>7</v>
      </c>
      <c r="F362" s="3">
        <v>47354.239999999998</v>
      </c>
      <c r="G362" s="3">
        <v>0</v>
      </c>
      <c r="H362" s="3">
        <v>47354.239999999998</v>
      </c>
      <c r="I362">
        <v>40</v>
      </c>
      <c r="J362" s="4">
        <v>1</v>
      </c>
      <c r="K362" s="3">
        <v>22.766461538461531</v>
      </c>
    </row>
    <row r="363" spans="1:11" x14ac:dyDescent="0.45">
      <c r="A363" t="s">
        <v>729</v>
      </c>
      <c r="B363" s="2" t="s">
        <v>12</v>
      </c>
      <c r="C363" t="s">
        <v>669</v>
      </c>
      <c r="D363" t="s">
        <v>730</v>
      </c>
      <c r="E363">
        <v>8</v>
      </c>
      <c r="F363" s="3">
        <v>52640.07</v>
      </c>
      <c r="G363" s="3">
        <v>0</v>
      </c>
      <c r="H363" s="3">
        <v>52640.07</v>
      </c>
      <c r="I363">
        <v>40</v>
      </c>
      <c r="J363" s="4">
        <v>1</v>
      </c>
      <c r="K363" s="3">
        <v>25.307725961538459</v>
      </c>
    </row>
    <row r="364" spans="1:11" x14ac:dyDescent="0.45">
      <c r="A364" t="s">
        <v>731</v>
      </c>
      <c r="B364" s="2" t="s">
        <v>12</v>
      </c>
      <c r="C364" t="s">
        <v>669</v>
      </c>
      <c r="D364" t="s">
        <v>732</v>
      </c>
      <c r="E364">
        <v>10</v>
      </c>
      <c r="F364" s="3">
        <v>51258.07</v>
      </c>
      <c r="G364" s="3">
        <v>0</v>
      </c>
      <c r="H364" s="3">
        <v>51258.07</v>
      </c>
      <c r="I364">
        <v>40</v>
      </c>
      <c r="J364" s="4">
        <v>1</v>
      </c>
      <c r="K364" s="3">
        <v>24.64330288461538</v>
      </c>
    </row>
    <row r="365" spans="1:11" x14ac:dyDescent="0.45">
      <c r="A365" t="s">
        <v>733</v>
      </c>
      <c r="B365" s="2" t="s">
        <v>12</v>
      </c>
      <c r="C365" t="s">
        <v>669</v>
      </c>
      <c r="D365" t="s">
        <v>734</v>
      </c>
      <c r="E365">
        <v>9</v>
      </c>
      <c r="F365" s="3">
        <v>61426.53</v>
      </c>
      <c r="G365" s="3">
        <v>0</v>
      </c>
      <c r="H365" s="3">
        <v>61426.53</v>
      </c>
      <c r="I365">
        <v>40</v>
      </c>
      <c r="J365" s="4">
        <v>1</v>
      </c>
      <c r="K365" s="3">
        <v>29.531985576923081</v>
      </c>
    </row>
    <row r="366" spans="1:11" x14ac:dyDescent="0.45">
      <c r="A366" t="s">
        <v>735</v>
      </c>
      <c r="B366" s="2" t="s">
        <v>12</v>
      </c>
      <c r="C366" t="s">
        <v>669</v>
      </c>
      <c r="D366" t="s">
        <v>736</v>
      </c>
      <c r="E366">
        <v>9</v>
      </c>
      <c r="F366" s="3">
        <v>52344.1</v>
      </c>
      <c r="G366" s="3">
        <v>8051.06</v>
      </c>
      <c r="H366" s="3">
        <v>60395.16</v>
      </c>
      <c r="I366">
        <v>40</v>
      </c>
      <c r="J366" s="4">
        <v>1</v>
      </c>
      <c r="K366" s="3">
        <v>29.036134615384611</v>
      </c>
    </row>
    <row r="367" spans="1:11" x14ac:dyDescent="0.45">
      <c r="A367" t="s">
        <v>737</v>
      </c>
      <c r="B367" s="5" t="s">
        <v>34</v>
      </c>
      <c r="C367" t="s">
        <v>669</v>
      </c>
      <c r="D367" t="s">
        <v>738</v>
      </c>
      <c r="E367">
        <v>2</v>
      </c>
      <c r="F367" s="3">
        <v>60873.83</v>
      </c>
      <c r="G367" s="3">
        <v>0</v>
      </c>
      <c r="H367" s="3">
        <v>60873.83</v>
      </c>
      <c r="I367">
        <v>30</v>
      </c>
      <c r="J367" s="4">
        <v>1</v>
      </c>
      <c r="K367" s="3">
        <v>39.021685897435901</v>
      </c>
    </row>
    <row r="368" spans="1:11" x14ac:dyDescent="0.45">
      <c r="A368" t="s">
        <v>739</v>
      </c>
      <c r="B368" s="5" t="s">
        <v>34</v>
      </c>
      <c r="C368" t="s">
        <v>669</v>
      </c>
      <c r="D368" t="s">
        <v>740</v>
      </c>
      <c r="E368">
        <v>5</v>
      </c>
      <c r="F368" s="3">
        <v>52875.839999999997</v>
      </c>
      <c r="G368" s="3">
        <v>0</v>
      </c>
      <c r="H368" s="3">
        <v>52875.839999999997</v>
      </c>
      <c r="I368">
        <v>20</v>
      </c>
      <c r="J368" s="4">
        <v>1</v>
      </c>
      <c r="K368" s="3">
        <v>50.842153846153842</v>
      </c>
    </row>
    <row r="369" spans="1:11" x14ac:dyDescent="0.45">
      <c r="A369" t="s">
        <v>741</v>
      </c>
      <c r="B369" s="5" t="s">
        <v>34</v>
      </c>
      <c r="C369" t="s">
        <v>669</v>
      </c>
      <c r="D369" t="s">
        <v>742</v>
      </c>
      <c r="E369">
        <v>7</v>
      </c>
      <c r="F369" s="3">
        <v>51103.63</v>
      </c>
      <c r="G369" s="3">
        <v>7621.49</v>
      </c>
      <c r="H369" s="3">
        <v>58725.120000000003</v>
      </c>
      <c r="I369">
        <v>30</v>
      </c>
      <c r="J369" s="4">
        <v>0.5</v>
      </c>
      <c r="K369" s="3">
        <v>37.644307692307692</v>
      </c>
    </row>
    <row r="370" spans="1:11" x14ac:dyDescent="0.45">
      <c r="A370" t="s">
        <v>743</v>
      </c>
      <c r="B370" s="5" t="s">
        <v>34</v>
      </c>
      <c r="C370" t="s">
        <v>669</v>
      </c>
      <c r="D370" t="s">
        <v>744</v>
      </c>
      <c r="E370">
        <v>11</v>
      </c>
      <c r="F370" s="3">
        <v>57526.14</v>
      </c>
      <c r="G370" s="3">
        <v>6706.76</v>
      </c>
      <c r="H370" s="3">
        <v>64232.9</v>
      </c>
      <c r="I370">
        <v>40</v>
      </c>
      <c r="J370" s="4">
        <v>1</v>
      </c>
      <c r="K370" s="3">
        <v>30.881201923076919</v>
      </c>
    </row>
    <row r="371" spans="1:11" x14ac:dyDescent="0.45">
      <c r="A371" t="s">
        <v>745</v>
      </c>
      <c r="B371" s="5" t="s">
        <v>34</v>
      </c>
      <c r="C371" t="s">
        <v>669</v>
      </c>
      <c r="D371" t="s">
        <v>746</v>
      </c>
      <c r="E371">
        <v>2</v>
      </c>
      <c r="F371" s="3">
        <v>55860.59</v>
      </c>
      <c r="G371" s="3">
        <v>0</v>
      </c>
      <c r="H371" s="3">
        <v>55860.59</v>
      </c>
      <c r="I371">
        <v>40</v>
      </c>
      <c r="J371" s="4">
        <v>0.75</v>
      </c>
      <c r="K371" s="3">
        <v>26.85605288461538</v>
      </c>
    </row>
    <row r="372" spans="1:11" x14ac:dyDescent="0.45">
      <c r="A372" t="s">
        <v>747</v>
      </c>
      <c r="B372" s="5" t="s">
        <v>34</v>
      </c>
      <c r="C372" t="s">
        <v>669</v>
      </c>
      <c r="D372" t="s">
        <v>748</v>
      </c>
      <c r="E372">
        <v>4</v>
      </c>
      <c r="F372" s="3">
        <v>51785.64</v>
      </c>
      <c r="G372" s="3">
        <v>0</v>
      </c>
      <c r="H372" s="3">
        <v>51785.64</v>
      </c>
      <c r="I372">
        <v>40</v>
      </c>
      <c r="J372" s="4">
        <v>1</v>
      </c>
      <c r="K372" s="3">
        <v>24.896942307692299</v>
      </c>
    </row>
    <row r="373" spans="1:11" x14ac:dyDescent="0.45">
      <c r="A373" t="s">
        <v>749</v>
      </c>
      <c r="B373" s="5" t="s">
        <v>34</v>
      </c>
      <c r="C373" t="s">
        <v>669</v>
      </c>
      <c r="D373" t="s">
        <v>393</v>
      </c>
      <c r="E373">
        <v>10</v>
      </c>
      <c r="F373" s="3">
        <v>59648.44</v>
      </c>
      <c r="G373" s="3">
        <v>0</v>
      </c>
      <c r="H373" s="3">
        <v>59648.44</v>
      </c>
      <c r="I373">
        <v>40</v>
      </c>
      <c r="J373" s="4">
        <v>1</v>
      </c>
      <c r="K373" s="3">
        <v>28.67713461538462</v>
      </c>
    </row>
    <row r="374" spans="1:11" x14ac:dyDescent="0.45">
      <c r="A374" t="s">
        <v>750</v>
      </c>
      <c r="B374" s="5" t="s">
        <v>34</v>
      </c>
      <c r="C374" t="s">
        <v>669</v>
      </c>
      <c r="D374" t="s">
        <v>751</v>
      </c>
      <c r="E374">
        <v>9</v>
      </c>
      <c r="F374" s="3">
        <v>46989.18</v>
      </c>
      <c r="G374" s="3">
        <v>0</v>
      </c>
      <c r="H374" s="3">
        <v>46989.18</v>
      </c>
      <c r="I374">
        <v>40</v>
      </c>
      <c r="J374" s="4">
        <v>0.75</v>
      </c>
      <c r="K374" s="3">
        <v>22.590951923076918</v>
      </c>
    </row>
    <row r="375" spans="1:11" x14ac:dyDescent="0.45">
      <c r="A375" t="s">
        <v>752</v>
      </c>
      <c r="B375" s="5" t="s">
        <v>34</v>
      </c>
      <c r="C375" t="s">
        <v>669</v>
      </c>
      <c r="D375" t="s">
        <v>753</v>
      </c>
      <c r="E375">
        <v>11</v>
      </c>
      <c r="F375" s="3">
        <v>61281.37</v>
      </c>
      <c r="G375" s="3">
        <v>4474.5</v>
      </c>
      <c r="H375" s="3">
        <v>65755.87</v>
      </c>
      <c r="I375">
        <v>40</v>
      </c>
      <c r="J375" s="4">
        <v>1</v>
      </c>
      <c r="K375" s="3">
        <v>31.613399038461541</v>
      </c>
    </row>
    <row r="376" spans="1:11" x14ac:dyDescent="0.45">
      <c r="A376" t="s">
        <v>754</v>
      </c>
      <c r="B376" s="5" t="s">
        <v>34</v>
      </c>
      <c r="C376" t="s">
        <v>669</v>
      </c>
      <c r="D376" t="s">
        <v>755</v>
      </c>
      <c r="E376">
        <v>9</v>
      </c>
      <c r="F376" s="3">
        <v>53091.82</v>
      </c>
      <c r="G376" s="3">
        <v>3751.16</v>
      </c>
      <c r="H376" s="3">
        <v>56842.98</v>
      </c>
      <c r="I376">
        <v>30</v>
      </c>
      <c r="J376" s="4">
        <v>1</v>
      </c>
      <c r="K376" s="3">
        <v>36.437807692307693</v>
      </c>
    </row>
    <row r="377" spans="1:11" x14ac:dyDescent="0.45">
      <c r="A377" t="s">
        <v>756</v>
      </c>
      <c r="B377" s="5" t="s">
        <v>34</v>
      </c>
      <c r="C377" t="s">
        <v>669</v>
      </c>
      <c r="D377" t="s">
        <v>757</v>
      </c>
      <c r="E377">
        <v>5</v>
      </c>
      <c r="F377" s="3">
        <v>56422.879999999997</v>
      </c>
      <c r="G377" s="3">
        <v>3781.31</v>
      </c>
      <c r="H377" s="3">
        <v>60204.19</v>
      </c>
      <c r="I377">
        <v>30</v>
      </c>
      <c r="J377" s="4">
        <v>0.5</v>
      </c>
      <c r="K377" s="3">
        <v>38.592429487179487</v>
      </c>
    </row>
    <row r="378" spans="1:11" x14ac:dyDescent="0.45">
      <c r="A378" t="s">
        <v>758</v>
      </c>
      <c r="B378" s="5" t="s">
        <v>34</v>
      </c>
      <c r="C378" t="s">
        <v>669</v>
      </c>
      <c r="D378" t="s">
        <v>759</v>
      </c>
      <c r="E378">
        <v>6</v>
      </c>
      <c r="F378" s="3">
        <v>52169.2</v>
      </c>
      <c r="G378" s="3">
        <v>0</v>
      </c>
      <c r="H378" s="3">
        <v>52169.2</v>
      </c>
      <c r="I378">
        <v>40</v>
      </c>
      <c r="J378" s="4">
        <v>0.75</v>
      </c>
      <c r="K378" s="3">
        <v>25.081346153846152</v>
      </c>
    </row>
    <row r="379" spans="1:11" x14ac:dyDescent="0.45">
      <c r="A379" t="s">
        <v>760</v>
      </c>
      <c r="B379" s="5" t="s">
        <v>34</v>
      </c>
      <c r="C379" t="s">
        <v>669</v>
      </c>
      <c r="D379" t="s">
        <v>761</v>
      </c>
      <c r="E379">
        <v>12</v>
      </c>
      <c r="F379" s="3">
        <v>49376.04</v>
      </c>
      <c r="G379" s="3">
        <v>0</v>
      </c>
      <c r="H379" s="3">
        <v>49376.04</v>
      </c>
      <c r="I379">
        <v>40</v>
      </c>
      <c r="J379" s="4">
        <v>1</v>
      </c>
      <c r="K379" s="3">
        <v>23.738480769230769</v>
      </c>
    </row>
    <row r="380" spans="1:11" x14ac:dyDescent="0.45">
      <c r="A380" t="s">
        <v>762</v>
      </c>
      <c r="B380" s="5" t="s">
        <v>34</v>
      </c>
      <c r="C380" t="s">
        <v>669</v>
      </c>
      <c r="D380" t="s">
        <v>763</v>
      </c>
      <c r="E380">
        <v>10</v>
      </c>
      <c r="F380" s="3">
        <v>48098.8</v>
      </c>
      <c r="G380" s="3">
        <v>3650.62</v>
      </c>
      <c r="H380" s="3">
        <v>51749.420000000013</v>
      </c>
      <c r="I380">
        <v>40</v>
      </c>
      <c r="J380" s="4">
        <v>1</v>
      </c>
      <c r="K380" s="3">
        <v>24.87952884615385</v>
      </c>
    </row>
    <row r="381" spans="1:11" x14ac:dyDescent="0.45">
      <c r="A381" t="s">
        <v>764</v>
      </c>
      <c r="B381" s="5" t="s">
        <v>34</v>
      </c>
      <c r="C381" t="s">
        <v>669</v>
      </c>
      <c r="D381" t="s">
        <v>765</v>
      </c>
      <c r="E381">
        <v>13</v>
      </c>
      <c r="F381" s="3">
        <v>56719</v>
      </c>
      <c r="G381" s="3">
        <v>0</v>
      </c>
      <c r="H381" s="3">
        <v>56719</v>
      </c>
      <c r="I381">
        <v>20</v>
      </c>
      <c r="J381" s="4">
        <v>1</v>
      </c>
      <c r="K381" s="3">
        <v>54.537500000000001</v>
      </c>
    </row>
    <row r="382" spans="1:11" x14ac:dyDescent="0.45">
      <c r="A382" t="s">
        <v>766</v>
      </c>
      <c r="B382" s="5" t="s">
        <v>34</v>
      </c>
      <c r="C382" t="s">
        <v>669</v>
      </c>
      <c r="D382" t="s">
        <v>767</v>
      </c>
      <c r="E382">
        <v>4</v>
      </c>
      <c r="F382" s="3">
        <v>60339.57</v>
      </c>
      <c r="G382" s="3">
        <v>0</v>
      </c>
      <c r="H382" s="3">
        <v>60339.57</v>
      </c>
      <c r="I382">
        <v>40</v>
      </c>
      <c r="J382" s="4">
        <v>0.5</v>
      </c>
      <c r="K382" s="3">
        <v>29.009408653846151</v>
      </c>
    </row>
    <row r="383" spans="1:11" x14ac:dyDescent="0.45">
      <c r="A383" t="s">
        <v>768</v>
      </c>
      <c r="B383" s="5" t="s">
        <v>34</v>
      </c>
      <c r="C383" t="s">
        <v>669</v>
      </c>
      <c r="D383" t="s">
        <v>769</v>
      </c>
      <c r="E383">
        <v>4</v>
      </c>
      <c r="F383" s="3">
        <v>49532.71</v>
      </c>
      <c r="G383" s="3">
        <v>0</v>
      </c>
      <c r="H383" s="3">
        <v>49532.71</v>
      </c>
      <c r="I383">
        <v>40</v>
      </c>
      <c r="J383" s="4">
        <v>0.75</v>
      </c>
      <c r="K383" s="3">
        <v>23.813802884615381</v>
      </c>
    </row>
    <row r="384" spans="1:11" x14ac:dyDescent="0.45">
      <c r="A384" t="s">
        <v>770</v>
      </c>
      <c r="B384" s="5" t="s">
        <v>34</v>
      </c>
      <c r="C384" t="s">
        <v>669</v>
      </c>
      <c r="D384" t="s">
        <v>771</v>
      </c>
      <c r="E384">
        <v>9</v>
      </c>
      <c r="F384" s="3">
        <v>46325.8</v>
      </c>
      <c r="G384" s="3">
        <v>0</v>
      </c>
      <c r="H384" s="3">
        <v>46325.8</v>
      </c>
      <c r="I384">
        <v>30</v>
      </c>
      <c r="J384" s="4">
        <v>0.5</v>
      </c>
      <c r="K384" s="3">
        <v>29.696025641025638</v>
      </c>
    </row>
    <row r="385" spans="1:11" x14ac:dyDescent="0.45">
      <c r="A385" t="s">
        <v>772</v>
      </c>
      <c r="B385" s="5" t="s">
        <v>34</v>
      </c>
      <c r="C385" t="s">
        <v>669</v>
      </c>
      <c r="D385" t="s">
        <v>773</v>
      </c>
      <c r="E385">
        <v>2</v>
      </c>
      <c r="F385" s="3">
        <v>48002.29</v>
      </c>
      <c r="G385" s="3">
        <v>0</v>
      </c>
      <c r="H385" s="3">
        <v>48002.29</v>
      </c>
      <c r="I385">
        <v>40</v>
      </c>
      <c r="J385" s="4">
        <v>0.75</v>
      </c>
      <c r="K385" s="3">
        <v>23.078024038461539</v>
      </c>
    </row>
    <row r="386" spans="1:11" x14ac:dyDescent="0.45">
      <c r="A386" t="s">
        <v>774</v>
      </c>
      <c r="B386" s="5" t="s">
        <v>34</v>
      </c>
      <c r="C386" t="s">
        <v>669</v>
      </c>
      <c r="D386" t="s">
        <v>775</v>
      </c>
      <c r="E386">
        <v>12</v>
      </c>
      <c r="F386" s="3">
        <v>62093.440000000002</v>
      </c>
      <c r="G386" s="3">
        <v>0</v>
      </c>
      <c r="H386" s="3">
        <v>62093.440000000002</v>
      </c>
      <c r="I386">
        <v>30</v>
      </c>
      <c r="J386" s="4">
        <v>0.75</v>
      </c>
      <c r="K386" s="3">
        <v>39.803487179487178</v>
      </c>
    </row>
    <row r="387" spans="1:11" x14ac:dyDescent="0.45">
      <c r="A387" t="s">
        <v>776</v>
      </c>
      <c r="B387" s="5" t="s">
        <v>34</v>
      </c>
      <c r="C387" t="s">
        <v>669</v>
      </c>
      <c r="D387" t="s">
        <v>777</v>
      </c>
      <c r="E387">
        <v>2</v>
      </c>
      <c r="F387" s="3">
        <v>59238.1</v>
      </c>
      <c r="G387" s="3">
        <v>11602.19</v>
      </c>
      <c r="H387" s="3">
        <v>70840.289999999994</v>
      </c>
      <c r="I387">
        <v>30</v>
      </c>
      <c r="J387" s="4">
        <v>0.75</v>
      </c>
      <c r="K387" s="3">
        <v>45.410442307692307</v>
      </c>
    </row>
    <row r="388" spans="1:11" x14ac:dyDescent="0.45">
      <c r="A388" t="s">
        <v>778</v>
      </c>
      <c r="B388" s="5" t="s">
        <v>34</v>
      </c>
      <c r="C388" t="s">
        <v>669</v>
      </c>
      <c r="D388" t="s">
        <v>535</v>
      </c>
      <c r="E388">
        <v>13</v>
      </c>
      <c r="F388" s="3">
        <v>56917.77</v>
      </c>
      <c r="G388" s="3">
        <v>0</v>
      </c>
      <c r="H388" s="3">
        <v>56917.77</v>
      </c>
      <c r="I388">
        <v>20</v>
      </c>
      <c r="J388" s="4">
        <v>1</v>
      </c>
      <c r="K388" s="3">
        <v>54.728625000000001</v>
      </c>
    </row>
    <row r="389" spans="1:11" x14ac:dyDescent="0.45">
      <c r="A389" t="s">
        <v>779</v>
      </c>
      <c r="B389" s="5" t="s">
        <v>34</v>
      </c>
      <c r="C389" t="s">
        <v>669</v>
      </c>
      <c r="D389" t="s">
        <v>780</v>
      </c>
      <c r="E389">
        <v>2</v>
      </c>
      <c r="F389" s="3">
        <v>58338.06</v>
      </c>
      <c r="G389" s="3">
        <v>7317.32</v>
      </c>
      <c r="H389" s="3">
        <v>65655.38</v>
      </c>
      <c r="I389">
        <v>40</v>
      </c>
      <c r="J389" s="4">
        <v>0.5</v>
      </c>
      <c r="K389" s="3">
        <v>31.565086538461539</v>
      </c>
    </row>
    <row r="390" spans="1:11" x14ac:dyDescent="0.45">
      <c r="A390" t="s">
        <v>781</v>
      </c>
      <c r="B390" s="5" t="s">
        <v>34</v>
      </c>
      <c r="C390" t="s">
        <v>669</v>
      </c>
      <c r="D390" t="s">
        <v>782</v>
      </c>
      <c r="E390">
        <v>6</v>
      </c>
      <c r="F390" s="3">
        <v>48378.85</v>
      </c>
      <c r="G390" s="3">
        <v>4760.4399999999996</v>
      </c>
      <c r="H390" s="3">
        <v>53139.29</v>
      </c>
      <c r="I390">
        <v>40</v>
      </c>
      <c r="J390" s="4">
        <v>0.5</v>
      </c>
      <c r="K390" s="3">
        <v>25.547735576923081</v>
      </c>
    </row>
    <row r="391" spans="1:11" x14ac:dyDescent="0.45">
      <c r="A391" t="s">
        <v>783</v>
      </c>
      <c r="B391" s="5" t="s">
        <v>34</v>
      </c>
      <c r="C391" t="s">
        <v>669</v>
      </c>
      <c r="D391" t="s">
        <v>784</v>
      </c>
      <c r="E391">
        <v>6</v>
      </c>
      <c r="F391" s="3">
        <v>60397.8</v>
      </c>
      <c r="G391" s="3">
        <v>0</v>
      </c>
      <c r="H391" s="3">
        <v>60397.8</v>
      </c>
      <c r="I391">
        <v>40</v>
      </c>
      <c r="J391" s="4">
        <v>0.5</v>
      </c>
      <c r="K391" s="3">
        <v>29.03740384615385</v>
      </c>
    </row>
    <row r="392" spans="1:11" x14ac:dyDescent="0.45">
      <c r="A392" t="s">
        <v>785</v>
      </c>
      <c r="B392" s="5" t="s">
        <v>34</v>
      </c>
      <c r="C392" t="s">
        <v>669</v>
      </c>
      <c r="D392" t="s">
        <v>786</v>
      </c>
      <c r="E392">
        <v>14</v>
      </c>
      <c r="F392" s="3">
        <v>50346.11</v>
      </c>
      <c r="G392" s="3">
        <v>0</v>
      </c>
      <c r="H392" s="3">
        <v>50346.11</v>
      </c>
      <c r="I392">
        <v>20</v>
      </c>
      <c r="J392" s="4">
        <v>1</v>
      </c>
      <c r="K392" s="3">
        <v>48.409721153846156</v>
      </c>
    </row>
    <row r="393" spans="1:11" x14ac:dyDescent="0.45">
      <c r="A393" t="s">
        <v>787</v>
      </c>
      <c r="B393" s="5" t="s">
        <v>34</v>
      </c>
      <c r="C393" t="s">
        <v>669</v>
      </c>
      <c r="D393" t="s">
        <v>788</v>
      </c>
      <c r="E393">
        <v>4</v>
      </c>
      <c r="F393" s="3">
        <v>54041.68</v>
      </c>
      <c r="G393" s="3">
        <v>10334.99</v>
      </c>
      <c r="H393" s="3">
        <v>64376.67</v>
      </c>
      <c r="I393">
        <v>40</v>
      </c>
      <c r="J393" s="4">
        <v>0.5</v>
      </c>
      <c r="K393" s="3">
        <v>30.950322115384619</v>
      </c>
    </row>
    <row r="394" spans="1:11" x14ac:dyDescent="0.45">
      <c r="A394" t="s">
        <v>789</v>
      </c>
      <c r="B394" s="5" t="s">
        <v>34</v>
      </c>
      <c r="C394" t="s">
        <v>669</v>
      </c>
      <c r="D394" t="s">
        <v>790</v>
      </c>
      <c r="E394">
        <v>13</v>
      </c>
      <c r="F394" s="3">
        <v>57574.25</v>
      </c>
      <c r="G394" s="3">
        <v>0</v>
      </c>
      <c r="H394" s="3">
        <v>57574.25</v>
      </c>
      <c r="I394">
        <v>40</v>
      </c>
      <c r="J394" s="4">
        <v>1</v>
      </c>
      <c r="K394" s="3">
        <v>27.679927884615381</v>
      </c>
    </row>
    <row r="395" spans="1:11" x14ac:dyDescent="0.45">
      <c r="A395" t="s">
        <v>791</v>
      </c>
      <c r="B395" s="5" t="s">
        <v>34</v>
      </c>
      <c r="C395" t="s">
        <v>669</v>
      </c>
      <c r="D395" t="s">
        <v>792</v>
      </c>
      <c r="E395">
        <v>13</v>
      </c>
      <c r="F395" s="3">
        <v>47215.81</v>
      </c>
      <c r="G395" s="3">
        <v>0</v>
      </c>
      <c r="H395" s="3">
        <v>47215.81</v>
      </c>
      <c r="I395">
        <v>40</v>
      </c>
      <c r="J395" s="4">
        <v>1</v>
      </c>
      <c r="K395" s="3">
        <v>22.699908653846151</v>
      </c>
    </row>
    <row r="396" spans="1:11" x14ac:dyDescent="0.45">
      <c r="A396" t="s">
        <v>793</v>
      </c>
      <c r="B396" s="5" t="s">
        <v>34</v>
      </c>
      <c r="C396" t="s">
        <v>669</v>
      </c>
      <c r="D396" t="s">
        <v>794</v>
      </c>
      <c r="E396">
        <v>1</v>
      </c>
      <c r="F396" s="3">
        <v>58324.74</v>
      </c>
      <c r="G396" s="3">
        <v>0</v>
      </c>
      <c r="H396" s="3">
        <v>58324.74</v>
      </c>
      <c r="I396">
        <v>30</v>
      </c>
      <c r="J396" s="4">
        <v>0.5</v>
      </c>
      <c r="K396" s="3">
        <v>37.387653846153853</v>
      </c>
    </row>
    <row r="397" spans="1:11" x14ac:dyDescent="0.45">
      <c r="A397" t="s">
        <v>795</v>
      </c>
      <c r="B397" s="5" t="s">
        <v>34</v>
      </c>
      <c r="C397" t="s">
        <v>669</v>
      </c>
      <c r="D397" t="s">
        <v>796</v>
      </c>
      <c r="E397">
        <v>11</v>
      </c>
      <c r="F397" s="3">
        <v>50592.68</v>
      </c>
      <c r="G397" s="3">
        <v>0</v>
      </c>
      <c r="H397" s="3">
        <v>50592.68</v>
      </c>
      <c r="I397">
        <v>40</v>
      </c>
      <c r="J397" s="4">
        <v>0.75</v>
      </c>
      <c r="K397" s="3">
        <v>24.323403846153841</v>
      </c>
    </row>
    <row r="398" spans="1:11" x14ac:dyDescent="0.45">
      <c r="A398" t="s">
        <v>797</v>
      </c>
      <c r="B398" s="5" t="s">
        <v>34</v>
      </c>
      <c r="C398" t="s">
        <v>669</v>
      </c>
      <c r="D398" t="s">
        <v>798</v>
      </c>
      <c r="E398">
        <v>10</v>
      </c>
      <c r="F398" s="3">
        <v>50718.43</v>
      </c>
      <c r="G398" s="3">
        <v>2991.73</v>
      </c>
      <c r="H398" s="3">
        <v>53710.16</v>
      </c>
      <c r="I398">
        <v>30</v>
      </c>
      <c r="J398" s="4">
        <v>0.75</v>
      </c>
      <c r="K398" s="3">
        <v>34.429589743589737</v>
      </c>
    </row>
    <row r="399" spans="1:11" x14ac:dyDescent="0.45">
      <c r="A399" t="s">
        <v>799</v>
      </c>
      <c r="B399" s="5" t="s">
        <v>34</v>
      </c>
      <c r="C399" t="s">
        <v>669</v>
      </c>
      <c r="D399" t="s">
        <v>800</v>
      </c>
      <c r="E399">
        <v>4</v>
      </c>
      <c r="F399" s="3">
        <v>53423.96</v>
      </c>
      <c r="G399" s="3">
        <v>0</v>
      </c>
      <c r="H399" s="3">
        <v>53423.96</v>
      </c>
      <c r="I399">
        <v>40</v>
      </c>
      <c r="J399" s="4">
        <v>1</v>
      </c>
      <c r="K399" s="3">
        <v>25.684596153846151</v>
      </c>
    </row>
    <row r="400" spans="1:11" x14ac:dyDescent="0.45">
      <c r="A400" t="s">
        <v>801</v>
      </c>
      <c r="B400" s="5" t="s">
        <v>34</v>
      </c>
      <c r="C400" t="s">
        <v>669</v>
      </c>
      <c r="D400" t="s">
        <v>802</v>
      </c>
      <c r="E400">
        <v>9</v>
      </c>
      <c r="F400" s="3">
        <v>57794.04</v>
      </c>
      <c r="G400" s="3">
        <v>0</v>
      </c>
      <c r="H400" s="3">
        <v>57794.04</v>
      </c>
      <c r="I400">
        <v>40</v>
      </c>
      <c r="J400" s="4">
        <v>1</v>
      </c>
      <c r="K400" s="3">
        <v>27.785596153846161</v>
      </c>
    </row>
    <row r="401" spans="1:11" x14ac:dyDescent="0.45">
      <c r="A401" t="s">
        <v>803</v>
      </c>
      <c r="B401" s="5" t="s">
        <v>34</v>
      </c>
      <c r="C401" t="s">
        <v>669</v>
      </c>
      <c r="D401" t="s">
        <v>804</v>
      </c>
      <c r="E401">
        <v>3</v>
      </c>
      <c r="F401" s="3">
        <v>54242.68</v>
      </c>
      <c r="G401" s="3">
        <v>4679.01</v>
      </c>
      <c r="H401" s="3">
        <v>58921.69</v>
      </c>
      <c r="I401">
        <v>40</v>
      </c>
      <c r="J401" s="4">
        <v>0.75</v>
      </c>
      <c r="K401" s="3">
        <v>28.327735576923079</v>
      </c>
    </row>
    <row r="402" spans="1:11" x14ac:dyDescent="0.45">
      <c r="A402" t="s">
        <v>805</v>
      </c>
      <c r="B402" s="2" t="s">
        <v>12</v>
      </c>
      <c r="C402" t="s">
        <v>806</v>
      </c>
      <c r="D402" t="s">
        <v>807</v>
      </c>
      <c r="E402">
        <v>9</v>
      </c>
      <c r="F402" s="3">
        <v>38823.78</v>
      </c>
      <c r="G402" s="3">
        <v>3631.26</v>
      </c>
      <c r="H402" s="3">
        <v>42455.040000000001</v>
      </c>
      <c r="I402">
        <v>40</v>
      </c>
      <c r="J402" s="4">
        <v>1</v>
      </c>
      <c r="K402" s="3">
        <v>20.411076923076919</v>
      </c>
    </row>
    <row r="403" spans="1:11" x14ac:dyDescent="0.45">
      <c r="A403" t="s">
        <v>808</v>
      </c>
      <c r="B403" s="2" t="s">
        <v>12</v>
      </c>
      <c r="C403" t="s">
        <v>806</v>
      </c>
      <c r="D403" t="s">
        <v>809</v>
      </c>
      <c r="E403">
        <v>4</v>
      </c>
      <c r="F403" s="3">
        <v>46588.46</v>
      </c>
      <c r="G403" s="3">
        <v>0</v>
      </c>
      <c r="H403" s="3">
        <v>46588.46</v>
      </c>
      <c r="I403">
        <v>40</v>
      </c>
      <c r="J403" s="4">
        <v>1</v>
      </c>
      <c r="K403" s="3">
        <v>22.39829807692308</v>
      </c>
    </row>
    <row r="404" spans="1:11" x14ac:dyDescent="0.45">
      <c r="A404" t="s">
        <v>810</v>
      </c>
      <c r="B404" s="2" t="s">
        <v>12</v>
      </c>
      <c r="C404" t="s">
        <v>806</v>
      </c>
      <c r="D404" t="s">
        <v>811</v>
      </c>
      <c r="E404">
        <v>8</v>
      </c>
      <c r="F404" s="3">
        <v>45949.82</v>
      </c>
      <c r="G404" s="3">
        <v>0</v>
      </c>
      <c r="H404" s="3">
        <v>45949.82</v>
      </c>
      <c r="I404">
        <v>40</v>
      </c>
      <c r="J404" s="4">
        <v>1</v>
      </c>
      <c r="K404" s="3">
        <v>22.091259615384612</v>
      </c>
    </row>
    <row r="405" spans="1:11" x14ac:dyDescent="0.45">
      <c r="A405" t="s">
        <v>812</v>
      </c>
      <c r="B405" s="2" t="s">
        <v>12</v>
      </c>
      <c r="C405" t="s">
        <v>806</v>
      </c>
      <c r="D405" t="s">
        <v>813</v>
      </c>
      <c r="E405">
        <v>11</v>
      </c>
      <c r="F405" s="3">
        <v>38091.910000000003</v>
      </c>
      <c r="G405" s="3">
        <v>7595.35</v>
      </c>
      <c r="H405" s="3">
        <v>45687.26</v>
      </c>
      <c r="I405">
        <v>40</v>
      </c>
      <c r="J405" s="4">
        <v>1</v>
      </c>
      <c r="K405" s="3">
        <v>21.965028846153849</v>
      </c>
    </row>
    <row r="406" spans="1:11" x14ac:dyDescent="0.45">
      <c r="A406" t="s">
        <v>814</v>
      </c>
      <c r="B406" s="2" t="s">
        <v>12</v>
      </c>
      <c r="C406" t="s">
        <v>806</v>
      </c>
      <c r="D406" t="s">
        <v>815</v>
      </c>
      <c r="E406">
        <v>1</v>
      </c>
      <c r="F406" s="3">
        <v>41984.37</v>
      </c>
      <c r="G406" s="3">
        <v>0</v>
      </c>
      <c r="H406" s="3">
        <v>41984.37</v>
      </c>
      <c r="I406">
        <v>40</v>
      </c>
      <c r="J406" s="4">
        <v>1</v>
      </c>
      <c r="K406" s="3">
        <v>20.18479326923077</v>
      </c>
    </row>
    <row r="407" spans="1:11" x14ac:dyDescent="0.45">
      <c r="A407" t="s">
        <v>816</v>
      </c>
      <c r="B407" s="2" t="s">
        <v>12</v>
      </c>
      <c r="C407" t="s">
        <v>806</v>
      </c>
      <c r="D407" t="s">
        <v>135</v>
      </c>
      <c r="E407">
        <v>11</v>
      </c>
      <c r="F407" s="3">
        <v>36834.620000000003</v>
      </c>
      <c r="G407" s="3">
        <v>0</v>
      </c>
      <c r="H407" s="3">
        <v>36834.620000000003</v>
      </c>
      <c r="I407">
        <v>40</v>
      </c>
      <c r="J407" s="4">
        <v>1</v>
      </c>
      <c r="K407" s="3">
        <v>17.708951923076921</v>
      </c>
    </row>
    <row r="408" spans="1:11" x14ac:dyDescent="0.45">
      <c r="A408" t="s">
        <v>817</v>
      </c>
      <c r="B408" s="2" t="s">
        <v>12</v>
      </c>
      <c r="C408" t="s">
        <v>806</v>
      </c>
      <c r="D408" t="s">
        <v>818</v>
      </c>
      <c r="E408">
        <v>8</v>
      </c>
      <c r="F408" s="3">
        <v>47880.25</v>
      </c>
      <c r="G408" s="3">
        <v>0</v>
      </c>
      <c r="H408" s="3">
        <v>47880.25</v>
      </c>
      <c r="I408">
        <v>40</v>
      </c>
      <c r="J408" s="4">
        <v>1</v>
      </c>
      <c r="K408" s="3">
        <v>23.019350961538461</v>
      </c>
    </row>
    <row r="409" spans="1:11" x14ac:dyDescent="0.45">
      <c r="A409" t="s">
        <v>819</v>
      </c>
      <c r="B409" s="2" t="s">
        <v>12</v>
      </c>
      <c r="C409" t="s">
        <v>806</v>
      </c>
      <c r="D409" t="s">
        <v>820</v>
      </c>
      <c r="E409">
        <v>14</v>
      </c>
      <c r="F409" s="3">
        <v>36313.089999999997</v>
      </c>
      <c r="G409" s="3">
        <v>0</v>
      </c>
      <c r="H409" s="3">
        <v>36313.089999999997</v>
      </c>
      <c r="I409">
        <v>40</v>
      </c>
      <c r="J409" s="4">
        <v>1</v>
      </c>
      <c r="K409" s="3">
        <v>17.45821634615384</v>
      </c>
    </row>
    <row r="410" spans="1:11" x14ac:dyDescent="0.45">
      <c r="A410" t="s">
        <v>821</v>
      </c>
      <c r="B410" s="2" t="s">
        <v>12</v>
      </c>
      <c r="C410" t="s">
        <v>806</v>
      </c>
      <c r="D410" t="s">
        <v>822</v>
      </c>
      <c r="E410">
        <v>11</v>
      </c>
      <c r="F410" s="3">
        <v>46817.48</v>
      </c>
      <c r="G410" s="3">
        <v>0</v>
      </c>
      <c r="H410" s="3">
        <v>46817.48</v>
      </c>
      <c r="I410">
        <v>40</v>
      </c>
      <c r="J410" s="4">
        <v>1</v>
      </c>
      <c r="K410" s="3">
        <v>22.50840384615385</v>
      </c>
    </row>
    <row r="411" spans="1:11" x14ac:dyDescent="0.45">
      <c r="A411" t="s">
        <v>823</v>
      </c>
      <c r="B411" s="2" t="s">
        <v>12</v>
      </c>
      <c r="C411" t="s">
        <v>806</v>
      </c>
      <c r="D411" t="s">
        <v>824</v>
      </c>
      <c r="E411">
        <v>4</v>
      </c>
      <c r="F411" s="3">
        <v>39300.43</v>
      </c>
      <c r="G411" s="3">
        <v>2598.7199999999998</v>
      </c>
      <c r="H411" s="3">
        <v>41899.15</v>
      </c>
      <c r="I411">
        <v>40</v>
      </c>
      <c r="J411" s="4">
        <v>1</v>
      </c>
      <c r="K411" s="3">
        <v>20.143822115384619</v>
      </c>
    </row>
    <row r="412" spans="1:11" x14ac:dyDescent="0.45">
      <c r="A412" t="s">
        <v>825</v>
      </c>
      <c r="B412" s="2" t="s">
        <v>12</v>
      </c>
      <c r="C412" t="s">
        <v>806</v>
      </c>
      <c r="D412" t="s">
        <v>826</v>
      </c>
      <c r="E412">
        <v>10</v>
      </c>
      <c r="F412" s="3">
        <v>46818.94</v>
      </c>
      <c r="G412" s="3">
        <v>0</v>
      </c>
      <c r="H412" s="3">
        <v>46818.94</v>
      </c>
      <c r="I412">
        <v>40</v>
      </c>
      <c r="J412" s="4">
        <v>1</v>
      </c>
      <c r="K412" s="3">
        <v>22.509105769230771</v>
      </c>
    </row>
    <row r="413" spans="1:11" x14ac:dyDescent="0.45">
      <c r="A413" t="s">
        <v>827</v>
      </c>
      <c r="B413" s="2" t="s">
        <v>12</v>
      </c>
      <c r="C413" t="s">
        <v>806</v>
      </c>
      <c r="D413" t="s">
        <v>828</v>
      </c>
      <c r="E413">
        <v>13</v>
      </c>
      <c r="F413" s="3">
        <v>40310.81</v>
      </c>
      <c r="G413" s="3">
        <v>0</v>
      </c>
      <c r="H413" s="3">
        <v>40310.81</v>
      </c>
      <c r="I413">
        <v>40</v>
      </c>
      <c r="J413" s="4">
        <v>1</v>
      </c>
      <c r="K413" s="3">
        <v>19.380197115384611</v>
      </c>
    </row>
    <row r="414" spans="1:11" x14ac:dyDescent="0.45">
      <c r="A414" t="s">
        <v>829</v>
      </c>
      <c r="B414" s="2" t="s">
        <v>12</v>
      </c>
      <c r="C414" t="s">
        <v>806</v>
      </c>
      <c r="D414" t="s">
        <v>830</v>
      </c>
      <c r="E414">
        <v>7</v>
      </c>
      <c r="F414" s="3">
        <v>42778.89</v>
      </c>
      <c r="G414" s="3">
        <v>0</v>
      </c>
      <c r="H414" s="3">
        <v>42778.89</v>
      </c>
      <c r="I414">
        <v>40</v>
      </c>
      <c r="J414" s="4">
        <v>1</v>
      </c>
      <c r="K414" s="3">
        <v>20.566774038461539</v>
      </c>
    </row>
    <row r="415" spans="1:11" x14ac:dyDescent="0.45">
      <c r="A415" t="s">
        <v>831</v>
      </c>
      <c r="B415" s="2" t="s">
        <v>12</v>
      </c>
      <c r="C415" t="s">
        <v>806</v>
      </c>
      <c r="D415" t="s">
        <v>832</v>
      </c>
      <c r="E415">
        <v>13</v>
      </c>
      <c r="F415" s="3">
        <v>36626.5</v>
      </c>
      <c r="G415" s="3">
        <v>0</v>
      </c>
      <c r="H415" s="3">
        <v>36626.5</v>
      </c>
      <c r="I415">
        <v>40</v>
      </c>
      <c r="J415" s="4">
        <v>1</v>
      </c>
      <c r="K415" s="3">
        <v>17.608894230769231</v>
      </c>
    </row>
    <row r="416" spans="1:11" x14ac:dyDescent="0.45">
      <c r="A416" t="s">
        <v>833</v>
      </c>
      <c r="B416" s="2" t="s">
        <v>12</v>
      </c>
      <c r="C416" t="s">
        <v>806</v>
      </c>
      <c r="D416" t="s">
        <v>834</v>
      </c>
      <c r="E416">
        <v>14</v>
      </c>
      <c r="F416" s="3">
        <v>39224.480000000003</v>
      </c>
      <c r="G416" s="3">
        <v>0</v>
      </c>
      <c r="H416" s="3">
        <v>39224.480000000003</v>
      </c>
      <c r="I416">
        <v>40</v>
      </c>
      <c r="J416" s="4">
        <v>1</v>
      </c>
      <c r="K416" s="3">
        <v>18.857923076923079</v>
      </c>
    </row>
    <row r="417" spans="1:11" x14ac:dyDescent="0.45">
      <c r="A417" t="s">
        <v>835</v>
      </c>
      <c r="B417" s="2" t="s">
        <v>12</v>
      </c>
      <c r="C417" t="s">
        <v>806</v>
      </c>
      <c r="D417" t="s">
        <v>836</v>
      </c>
      <c r="E417">
        <v>9</v>
      </c>
      <c r="F417" s="3">
        <v>37197.019999999997</v>
      </c>
      <c r="G417" s="3">
        <v>0</v>
      </c>
      <c r="H417" s="3">
        <v>37197.019999999997</v>
      </c>
      <c r="I417">
        <v>40</v>
      </c>
      <c r="J417" s="4">
        <v>1</v>
      </c>
      <c r="K417" s="3">
        <v>17.883182692307692</v>
      </c>
    </row>
    <row r="418" spans="1:11" x14ac:dyDescent="0.45">
      <c r="A418" t="s">
        <v>837</v>
      </c>
      <c r="B418" s="2" t="s">
        <v>12</v>
      </c>
      <c r="C418" t="s">
        <v>806</v>
      </c>
      <c r="D418" t="s">
        <v>838</v>
      </c>
      <c r="E418">
        <v>13</v>
      </c>
      <c r="F418" s="3">
        <v>40402.300000000003</v>
      </c>
      <c r="G418" s="3">
        <v>0</v>
      </c>
      <c r="H418" s="3">
        <v>40402.300000000003</v>
      </c>
      <c r="I418">
        <v>40</v>
      </c>
      <c r="J418" s="4">
        <v>1</v>
      </c>
      <c r="K418" s="3">
        <v>19.424182692307689</v>
      </c>
    </row>
    <row r="419" spans="1:11" x14ac:dyDescent="0.45">
      <c r="A419" t="s">
        <v>839</v>
      </c>
      <c r="B419" s="2" t="s">
        <v>12</v>
      </c>
      <c r="C419" t="s">
        <v>806</v>
      </c>
      <c r="D419" t="s">
        <v>840</v>
      </c>
      <c r="E419">
        <v>5</v>
      </c>
      <c r="F419" s="3">
        <v>47530.75</v>
      </c>
      <c r="G419" s="3">
        <v>0</v>
      </c>
      <c r="H419" s="3">
        <v>47530.75</v>
      </c>
      <c r="I419">
        <v>40</v>
      </c>
      <c r="J419" s="4">
        <v>1</v>
      </c>
      <c r="K419" s="3">
        <v>22.851322115384608</v>
      </c>
    </row>
    <row r="420" spans="1:11" x14ac:dyDescent="0.45">
      <c r="A420" t="s">
        <v>841</v>
      </c>
      <c r="B420" s="2" t="s">
        <v>12</v>
      </c>
      <c r="C420" t="s">
        <v>806</v>
      </c>
      <c r="D420" t="s">
        <v>289</v>
      </c>
      <c r="E420">
        <v>1</v>
      </c>
      <c r="F420" s="3">
        <v>43291.03</v>
      </c>
      <c r="G420" s="3">
        <v>0</v>
      </c>
      <c r="H420" s="3">
        <v>43291.03</v>
      </c>
      <c r="I420">
        <v>40</v>
      </c>
      <c r="J420" s="4">
        <v>1</v>
      </c>
      <c r="K420" s="3">
        <v>20.812995192307689</v>
      </c>
    </row>
    <row r="421" spans="1:11" x14ac:dyDescent="0.45">
      <c r="A421" t="s">
        <v>842</v>
      </c>
      <c r="B421" s="2" t="s">
        <v>12</v>
      </c>
      <c r="C421" t="s">
        <v>806</v>
      </c>
      <c r="D421" t="s">
        <v>843</v>
      </c>
      <c r="E421">
        <v>11</v>
      </c>
      <c r="F421" s="3">
        <v>36270.82</v>
      </c>
      <c r="G421" s="3">
        <v>3625.49</v>
      </c>
      <c r="H421" s="3">
        <v>39896.31</v>
      </c>
      <c r="I421">
        <v>40</v>
      </c>
      <c r="J421" s="4">
        <v>1</v>
      </c>
      <c r="K421" s="3">
        <v>19.180918269230769</v>
      </c>
    </row>
    <row r="422" spans="1:11" x14ac:dyDescent="0.45">
      <c r="A422" t="s">
        <v>844</v>
      </c>
      <c r="B422" s="2" t="s">
        <v>12</v>
      </c>
      <c r="C422" t="s">
        <v>806</v>
      </c>
      <c r="D422" t="s">
        <v>845</v>
      </c>
      <c r="E422">
        <v>4</v>
      </c>
      <c r="F422" s="3">
        <v>42243.59</v>
      </c>
      <c r="G422" s="3">
        <v>7771.54</v>
      </c>
      <c r="H422" s="3">
        <v>50015.13</v>
      </c>
      <c r="I422">
        <v>40</v>
      </c>
      <c r="J422" s="4">
        <v>1</v>
      </c>
      <c r="K422" s="3">
        <v>24.045735576923079</v>
      </c>
    </row>
    <row r="423" spans="1:11" x14ac:dyDescent="0.45">
      <c r="A423" t="s">
        <v>846</v>
      </c>
      <c r="B423" s="2" t="s">
        <v>12</v>
      </c>
      <c r="C423" t="s">
        <v>806</v>
      </c>
      <c r="D423" t="s">
        <v>847</v>
      </c>
      <c r="E423">
        <v>4</v>
      </c>
      <c r="F423" s="3">
        <v>39832.370000000003</v>
      </c>
      <c r="G423" s="3">
        <v>0</v>
      </c>
      <c r="H423" s="3">
        <v>39832.370000000003</v>
      </c>
      <c r="I423">
        <v>40</v>
      </c>
      <c r="J423" s="4">
        <v>1</v>
      </c>
      <c r="K423" s="3">
        <v>19.150177884615381</v>
      </c>
    </row>
    <row r="424" spans="1:11" x14ac:dyDescent="0.45">
      <c r="A424" t="s">
        <v>848</v>
      </c>
      <c r="B424" s="2" t="s">
        <v>12</v>
      </c>
      <c r="C424" t="s">
        <v>806</v>
      </c>
      <c r="D424" t="s">
        <v>849</v>
      </c>
      <c r="E424">
        <v>7</v>
      </c>
      <c r="F424" s="3">
        <v>40651.230000000003</v>
      </c>
      <c r="G424" s="3">
        <v>0</v>
      </c>
      <c r="H424" s="3">
        <v>40651.230000000003</v>
      </c>
      <c r="I424">
        <v>40</v>
      </c>
      <c r="J424" s="4">
        <v>1</v>
      </c>
      <c r="K424" s="3">
        <v>19.54386057692308</v>
      </c>
    </row>
    <row r="425" spans="1:11" x14ac:dyDescent="0.45">
      <c r="A425" t="s">
        <v>850</v>
      </c>
      <c r="B425" s="2" t="s">
        <v>12</v>
      </c>
      <c r="C425" t="s">
        <v>806</v>
      </c>
      <c r="D425" t="s">
        <v>851</v>
      </c>
      <c r="E425">
        <v>12</v>
      </c>
      <c r="F425" s="3">
        <v>43180.93</v>
      </c>
      <c r="G425" s="3">
        <v>0</v>
      </c>
      <c r="H425" s="3">
        <v>43180.93</v>
      </c>
      <c r="I425">
        <v>40</v>
      </c>
      <c r="J425" s="4">
        <v>1</v>
      </c>
      <c r="K425" s="3">
        <v>20.7600625</v>
      </c>
    </row>
    <row r="426" spans="1:11" x14ac:dyDescent="0.45">
      <c r="A426" t="s">
        <v>852</v>
      </c>
      <c r="B426" s="2" t="s">
        <v>12</v>
      </c>
      <c r="C426" t="s">
        <v>806</v>
      </c>
      <c r="D426" t="s">
        <v>853</v>
      </c>
      <c r="E426">
        <v>7</v>
      </c>
      <c r="F426" s="3">
        <v>42407.48</v>
      </c>
      <c r="G426" s="3">
        <v>0</v>
      </c>
      <c r="H426" s="3">
        <v>42407.48</v>
      </c>
      <c r="I426">
        <v>40</v>
      </c>
      <c r="J426" s="4">
        <v>1</v>
      </c>
      <c r="K426" s="3">
        <v>20.38821153846154</v>
      </c>
    </row>
    <row r="427" spans="1:11" x14ac:dyDescent="0.45">
      <c r="A427" t="s">
        <v>854</v>
      </c>
      <c r="B427" s="2" t="s">
        <v>12</v>
      </c>
      <c r="C427" t="s">
        <v>806</v>
      </c>
      <c r="D427" t="s">
        <v>855</v>
      </c>
      <c r="E427">
        <v>3</v>
      </c>
      <c r="F427" s="3">
        <v>41683.65</v>
      </c>
      <c r="G427" s="3">
        <v>4155.2700000000004</v>
      </c>
      <c r="H427" s="3">
        <v>45838.92</v>
      </c>
      <c r="I427">
        <v>40</v>
      </c>
      <c r="J427" s="4">
        <v>1</v>
      </c>
      <c r="K427" s="3">
        <v>22.037942307692312</v>
      </c>
    </row>
    <row r="428" spans="1:11" x14ac:dyDescent="0.45">
      <c r="A428" t="s">
        <v>856</v>
      </c>
      <c r="B428" s="2" t="s">
        <v>12</v>
      </c>
      <c r="C428" t="s">
        <v>806</v>
      </c>
      <c r="D428" t="s">
        <v>857</v>
      </c>
      <c r="E428">
        <v>1</v>
      </c>
      <c r="F428" s="3">
        <v>48046.720000000001</v>
      </c>
      <c r="G428" s="3">
        <v>0</v>
      </c>
      <c r="H428" s="3">
        <v>48046.720000000001</v>
      </c>
      <c r="I428">
        <v>40</v>
      </c>
      <c r="J428" s="4">
        <v>1</v>
      </c>
      <c r="K428" s="3">
        <v>23.099384615384611</v>
      </c>
    </row>
    <row r="429" spans="1:11" x14ac:dyDescent="0.45">
      <c r="A429" t="s">
        <v>858</v>
      </c>
      <c r="B429" s="2" t="s">
        <v>12</v>
      </c>
      <c r="C429" t="s">
        <v>806</v>
      </c>
      <c r="D429" t="s">
        <v>859</v>
      </c>
      <c r="E429">
        <v>13</v>
      </c>
      <c r="F429" s="3">
        <v>43221.06</v>
      </c>
      <c r="G429" s="3">
        <v>0</v>
      </c>
      <c r="H429" s="3">
        <v>43221.06</v>
      </c>
      <c r="I429">
        <v>40</v>
      </c>
      <c r="J429" s="4">
        <v>1</v>
      </c>
      <c r="K429" s="3">
        <v>20.779355769230769</v>
      </c>
    </row>
    <row r="430" spans="1:11" x14ac:dyDescent="0.45">
      <c r="A430" t="s">
        <v>860</v>
      </c>
      <c r="B430" s="2" t="s">
        <v>12</v>
      </c>
      <c r="C430" t="s">
        <v>806</v>
      </c>
      <c r="D430" t="s">
        <v>861</v>
      </c>
      <c r="E430">
        <v>14</v>
      </c>
      <c r="F430" s="3">
        <v>42978.19</v>
      </c>
      <c r="G430" s="3">
        <v>0</v>
      </c>
      <c r="H430" s="3">
        <v>42978.19</v>
      </c>
      <c r="I430">
        <v>40</v>
      </c>
      <c r="J430" s="4">
        <v>1</v>
      </c>
      <c r="K430" s="3">
        <v>20.66259134615385</v>
      </c>
    </row>
    <row r="431" spans="1:11" x14ac:dyDescent="0.45">
      <c r="A431" t="s">
        <v>862</v>
      </c>
      <c r="B431" s="2" t="s">
        <v>12</v>
      </c>
      <c r="C431" t="s">
        <v>806</v>
      </c>
      <c r="D431" t="s">
        <v>455</v>
      </c>
      <c r="E431">
        <v>14</v>
      </c>
      <c r="F431" s="3">
        <v>41753.65</v>
      </c>
      <c r="G431" s="3">
        <v>0</v>
      </c>
      <c r="H431" s="3">
        <v>41753.65</v>
      </c>
      <c r="I431">
        <v>40</v>
      </c>
      <c r="J431" s="4">
        <v>1</v>
      </c>
      <c r="K431" s="3">
        <v>20.073870192307691</v>
      </c>
    </row>
    <row r="432" spans="1:11" x14ac:dyDescent="0.45">
      <c r="A432" t="s">
        <v>863</v>
      </c>
      <c r="B432" s="5" t="s">
        <v>34</v>
      </c>
      <c r="C432" t="s">
        <v>806</v>
      </c>
      <c r="D432" t="s">
        <v>864</v>
      </c>
      <c r="E432">
        <v>6</v>
      </c>
      <c r="F432" s="3">
        <v>43295.27</v>
      </c>
      <c r="G432" s="3">
        <v>0</v>
      </c>
      <c r="H432" s="3">
        <v>43295.27</v>
      </c>
      <c r="I432">
        <v>40</v>
      </c>
      <c r="J432" s="4">
        <v>0.5</v>
      </c>
      <c r="K432" s="3">
        <v>20.815033653846161</v>
      </c>
    </row>
    <row r="433" spans="1:11" x14ac:dyDescent="0.45">
      <c r="A433" t="s">
        <v>865</v>
      </c>
      <c r="B433" s="5" t="s">
        <v>34</v>
      </c>
      <c r="C433" t="s">
        <v>806</v>
      </c>
      <c r="D433" t="s">
        <v>194</v>
      </c>
      <c r="E433">
        <v>8</v>
      </c>
      <c r="F433" s="3">
        <v>45378.46</v>
      </c>
      <c r="G433" s="3">
        <v>2397.83</v>
      </c>
      <c r="H433" s="3">
        <v>47776.29</v>
      </c>
      <c r="I433">
        <v>30</v>
      </c>
      <c r="J433" s="4">
        <v>1</v>
      </c>
      <c r="K433" s="3">
        <v>30.625826923076929</v>
      </c>
    </row>
    <row r="434" spans="1:11" x14ac:dyDescent="0.45">
      <c r="A434" t="s">
        <v>866</v>
      </c>
      <c r="B434" s="5" t="s">
        <v>34</v>
      </c>
      <c r="C434" t="s">
        <v>806</v>
      </c>
      <c r="D434" t="s">
        <v>867</v>
      </c>
      <c r="E434">
        <v>12</v>
      </c>
      <c r="F434" s="3">
        <v>38955.519999999997</v>
      </c>
      <c r="G434" s="3">
        <v>0</v>
      </c>
      <c r="H434" s="3">
        <v>38955.519999999997</v>
      </c>
      <c r="I434">
        <v>20</v>
      </c>
      <c r="J434" s="4">
        <v>0.75</v>
      </c>
      <c r="K434" s="3">
        <v>37.457230769230769</v>
      </c>
    </row>
    <row r="435" spans="1:11" x14ac:dyDescent="0.45">
      <c r="A435" t="s">
        <v>868</v>
      </c>
      <c r="B435" s="5" t="s">
        <v>34</v>
      </c>
      <c r="C435" t="s">
        <v>806</v>
      </c>
      <c r="D435" t="s">
        <v>869</v>
      </c>
      <c r="E435">
        <v>2</v>
      </c>
      <c r="F435" s="3">
        <v>44473.81</v>
      </c>
      <c r="G435" s="3">
        <v>0</v>
      </c>
      <c r="H435" s="3">
        <v>44473.81</v>
      </c>
      <c r="I435">
        <v>40</v>
      </c>
      <c r="J435" s="4">
        <v>0.5</v>
      </c>
      <c r="K435" s="3">
        <v>21.381639423076919</v>
      </c>
    </row>
    <row r="436" spans="1:11" x14ac:dyDescent="0.45">
      <c r="A436" t="s">
        <v>870</v>
      </c>
      <c r="B436" s="5" t="s">
        <v>34</v>
      </c>
      <c r="C436" t="s">
        <v>806</v>
      </c>
      <c r="D436" t="s">
        <v>871</v>
      </c>
      <c r="E436">
        <v>11</v>
      </c>
      <c r="F436" s="3">
        <v>36488.1</v>
      </c>
      <c r="G436" s="3">
        <v>0</v>
      </c>
      <c r="H436" s="3">
        <v>36488.1</v>
      </c>
      <c r="I436">
        <v>20</v>
      </c>
      <c r="J436" s="4">
        <v>0.75</v>
      </c>
      <c r="K436" s="3">
        <v>35.084711538461526</v>
      </c>
    </row>
    <row r="437" spans="1:11" x14ac:dyDescent="0.45">
      <c r="A437" t="s">
        <v>872</v>
      </c>
      <c r="B437" s="5" t="s">
        <v>34</v>
      </c>
      <c r="C437" t="s">
        <v>806</v>
      </c>
      <c r="D437" t="s">
        <v>873</v>
      </c>
      <c r="E437">
        <v>8</v>
      </c>
      <c r="F437" s="3">
        <v>37765.03</v>
      </c>
      <c r="G437" s="3">
        <v>7055.21</v>
      </c>
      <c r="H437" s="3">
        <v>44820.24</v>
      </c>
      <c r="I437">
        <v>20</v>
      </c>
      <c r="J437" s="4">
        <v>1</v>
      </c>
      <c r="K437" s="3">
        <v>43.096384615384608</v>
      </c>
    </row>
    <row r="438" spans="1:11" x14ac:dyDescent="0.45">
      <c r="A438" t="s">
        <v>874</v>
      </c>
      <c r="B438" s="5" t="s">
        <v>34</v>
      </c>
      <c r="C438" t="s">
        <v>806</v>
      </c>
      <c r="D438" t="s">
        <v>875</v>
      </c>
      <c r="E438">
        <v>6</v>
      </c>
      <c r="F438" s="3">
        <v>42110.42</v>
      </c>
      <c r="G438" s="3">
        <v>0</v>
      </c>
      <c r="H438" s="3">
        <v>42110.42</v>
      </c>
      <c r="I438">
        <v>20</v>
      </c>
      <c r="J438" s="4">
        <v>0.75</v>
      </c>
      <c r="K438" s="3">
        <v>40.490788461538457</v>
      </c>
    </row>
    <row r="439" spans="1:11" x14ac:dyDescent="0.45">
      <c r="A439" t="s">
        <v>876</v>
      </c>
      <c r="B439" s="5" t="s">
        <v>34</v>
      </c>
      <c r="C439" t="s">
        <v>806</v>
      </c>
      <c r="D439" t="s">
        <v>877</v>
      </c>
      <c r="E439">
        <v>13</v>
      </c>
      <c r="F439" s="3">
        <v>36307.17</v>
      </c>
      <c r="G439" s="3">
        <v>0</v>
      </c>
      <c r="H439" s="3">
        <v>36307.17</v>
      </c>
      <c r="I439">
        <v>40</v>
      </c>
      <c r="J439" s="4">
        <v>1</v>
      </c>
      <c r="K439" s="3">
        <v>17.45537019230769</v>
      </c>
    </row>
    <row r="440" spans="1:11" x14ac:dyDescent="0.45">
      <c r="A440" t="s">
        <v>878</v>
      </c>
      <c r="B440" s="5" t="s">
        <v>34</v>
      </c>
      <c r="C440" t="s">
        <v>806</v>
      </c>
      <c r="D440" t="s">
        <v>879</v>
      </c>
      <c r="E440">
        <v>7</v>
      </c>
      <c r="F440" s="3">
        <v>45297.83</v>
      </c>
      <c r="G440" s="3">
        <v>0</v>
      </c>
      <c r="H440" s="3">
        <v>45297.83</v>
      </c>
      <c r="I440">
        <v>40</v>
      </c>
      <c r="J440" s="4">
        <v>0.75</v>
      </c>
      <c r="K440" s="3">
        <v>21.77780288461539</v>
      </c>
    </row>
    <row r="441" spans="1:11" x14ac:dyDescent="0.45">
      <c r="A441" t="s">
        <v>880</v>
      </c>
      <c r="B441" s="5" t="s">
        <v>34</v>
      </c>
      <c r="C441" t="s">
        <v>806</v>
      </c>
      <c r="D441" t="s">
        <v>881</v>
      </c>
      <c r="E441">
        <v>7</v>
      </c>
      <c r="F441" s="3">
        <v>37804.49</v>
      </c>
      <c r="G441" s="3">
        <v>0</v>
      </c>
      <c r="H441" s="3">
        <v>37804.49</v>
      </c>
      <c r="I441">
        <v>40</v>
      </c>
      <c r="J441" s="4">
        <v>1</v>
      </c>
      <c r="K441" s="3">
        <v>18.175235576923079</v>
      </c>
    </row>
    <row r="442" spans="1:11" x14ac:dyDescent="0.45">
      <c r="A442" t="s">
        <v>882</v>
      </c>
      <c r="B442" s="5" t="s">
        <v>34</v>
      </c>
      <c r="C442" t="s">
        <v>806</v>
      </c>
      <c r="D442" t="s">
        <v>883</v>
      </c>
      <c r="E442">
        <v>9</v>
      </c>
      <c r="F442" s="3">
        <v>40881.72</v>
      </c>
      <c r="G442" s="3">
        <v>0</v>
      </c>
      <c r="H442" s="3">
        <v>40881.72</v>
      </c>
      <c r="I442">
        <v>40</v>
      </c>
      <c r="J442" s="4">
        <v>1</v>
      </c>
      <c r="K442" s="3">
        <v>19.654673076923078</v>
      </c>
    </row>
    <row r="443" spans="1:11" x14ac:dyDescent="0.45">
      <c r="A443" t="s">
        <v>884</v>
      </c>
      <c r="B443" s="5" t="s">
        <v>34</v>
      </c>
      <c r="C443" t="s">
        <v>806</v>
      </c>
      <c r="D443" t="s">
        <v>885</v>
      </c>
      <c r="E443">
        <v>2</v>
      </c>
      <c r="F443" s="3">
        <v>37485.43</v>
      </c>
      <c r="G443" s="3">
        <v>0</v>
      </c>
      <c r="H443" s="3">
        <v>37485.43</v>
      </c>
      <c r="I443">
        <v>40</v>
      </c>
      <c r="J443" s="4">
        <v>0.75</v>
      </c>
      <c r="K443" s="3">
        <v>18.021841346153849</v>
      </c>
    </row>
    <row r="444" spans="1:11" x14ac:dyDescent="0.45">
      <c r="A444" t="s">
        <v>886</v>
      </c>
      <c r="B444" s="5" t="s">
        <v>34</v>
      </c>
      <c r="C444" t="s">
        <v>806</v>
      </c>
      <c r="D444" t="s">
        <v>260</v>
      </c>
      <c r="E444">
        <v>5</v>
      </c>
      <c r="F444" s="3">
        <v>41871.660000000003</v>
      </c>
      <c r="G444" s="3">
        <v>0</v>
      </c>
      <c r="H444" s="3">
        <v>41871.660000000003</v>
      </c>
      <c r="I444">
        <v>40</v>
      </c>
      <c r="J444" s="4">
        <v>0.5</v>
      </c>
      <c r="K444" s="3">
        <v>20.130605769230769</v>
      </c>
    </row>
    <row r="445" spans="1:11" x14ac:dyDescent="0.45">
      <c r="A445" t="s">
        <v>887</v>
      </c>
      <c r="B445" s="5" t="s">
        <v>34</v>
      </c>
      <c r="C445" t="s">
        <v>806</v>
      </c>
      <c r="D445" t="s">
        <v>256</v>
      </c>
      <c r="E445">
        <v>7</v>
      </c>
      <c r="F445" s="3">
        <v>37253.589999999997</v>
      </c>
      <c r="G445" s="3">
        <v>0</v>
      </c>
      <c r="H445" s="3">
        <v>37253.589999999997</v>
      </c>
      <c r="I445">
        <v>40</v>
      </c>
      <c r="J445" s="4">
        <v>1</v>
      </c>
      <c r="K445" s="3">
        <v>17.910379807692301</v>
      </c>
    </row>
    <row r="446" spans="1:11" x14ac:dyDescent="0.45">
      <c r="A446" t="s">
        <v>888</v>
      </c>
      <c r="B446" s="5" t="s">
        <v>34</v>
      </c>
      <c r="C446" t="s">
        <v>806</v>
      </c>
      <c r="D446" t="s">
        <v>889</v>
      </c>
      <c r="E446">
        <v>6</v>
      </c>
      <c r="F446" s="3">
        <v>41388.120000000003</v>
      </c>
      <c r="G446" s="3">
        <v>0</v>
      </c>
      <c r="H446" s="3">
        <v>41388.120000000003</v>
      </c>
      <c r="I446">
        <v>40</v>
      </c>
      <c r="J446" s="4">
        <v>0.5</v>
      </c>
      <c r="K446" s="3">
        <v>19.89813461538462</v>
      </c>
    </row>
    <row r="447" spans="1:11" x14ac:dyDescent="0.45">
      <c r="A447" t="s">
        <v>890</v>
      </c>
      <c r="B447" s="5" t="s">
        <v>34</v>
      </c>
      <c r="C447" t="s">
        <v>806</v>
      </c>
      <c r="D447" t="s">
        <v>891</v>
      </c>
      <c r="E447">
        <v>3</v>
      </c>
      <c r="F447" s="3">
        <v>36708.06</v>
      </c>
      <c r="G447" s="3">
        <v>0</v>
      </c>
      <c r="H447" s="3">
        <v>36708.06</v>
      </c>
      <c r="I447">
        <v>30</v>
      </c>
      <c r="J447" s="4">
        <v>1</v>
      </c>
      <c r="K447" s="3">
        <v>23.53080769230769</v>
      </c>
    </row>
    <row r="448" spans="1:11" x14ac:dyDescent="0.45">
      <c r="A448" t="s">
        <v>892</v>
      </c>
      <c r="B448" s="5" t="s">
        <v>34</v>
      </c>
      <c r="C448" t="s">
        <v>806</v>
      </c>
      <c r="D448" t="s">
        <v>893</v>
      </c>
      <c r="E448">
        <v>1</v>
      </c>
      <c r="F448" s="3">
        <v>42608.3</v>
      </c>
      <c r="G448" s="3">
        <v>7056.57</v>
      </c>
      <c r="H448" s="3">
        <v>49664.87</v>
      </c>
      <c r="I448">
        <v>20</v>
      </c>
      <c r="J448" s="4">
        <v>1</v>
      </c>
      <c r="K448" s="3">
        <v>47.754682692307703</v>
      </c>
    </row>
    <row r="449" spans="1:11" x14ac:dyDescent="0.45">
      <c r="A449" t="s">
        <v>894</v>
      </c>
      <c r="B449" s="5" t="s">
        <v>34</v>
      </c>
      <c r="C449" t="s">
        <v>806</v>
      </c>
      <c r="D449" t="s">
        <v>895</v>
      </c>
      <c r="E449">
        <v>11</v>
      </c>
      <c r="F449" s="3">
        <v>38882.89</v>
      </c>
      <c r="G449" s="3">
        <v>0</v>
      </c>
      <c r="H449" s="3">
        <v>38882.89</v>
      </c>
      <c r="I449">
        <v>30</v>
      </c>
      <c r="J449" s="4">
        <v>1</v>
      </c>
      <c r="K449" s="3">
        <v>24.92492948717949</v>
      </c>
    </row>
    <row r="450" spans="1:11" x14ac:dyDescent="0.45">
      <c r="A450" t="s">
        <v>896</v>
      </c>
      <c r="B450" s="5" t="s">
        <v>34</v>
      </c>
      <c r="C450" t="s">
        <v>806</v>
      </c>
      <c r="D450" t="s">
        <v>897</v>
      </c>
      <c r="E450">
        <v>7</v>
      </c>
      <c r="F450" s="3">
        <v>43070.93</v>
      </c>
      <c r="G450" s="3">
        <v>0</v>
      </c>
      <c r="H450" s="3">
        <v>43070.93</v>
      </c>
      <c r="I450">
        <v>40</v>
      </c>
      <c r="J450" s="4">
        <v>1</v>
      </c>
      <c r="K450" s="3">
        <v>20.70717788461538</v>
      </c>
    </row>
    <row r="451" spans="1:11" x14ac:dyDescent="0.45">
      <c r="A451" t="s">
        <v>898</v>
      </c>
      <c r="B451" s="5" t="s">
        <v>34</v>
      </c>
      <c r="C451" t="s">
        <v>806</v>
      </c>
      <c r="D451" t="s">
        <v>899</v>
      </c>
      <c r="E451">
        <v>1</v>
      </c>
      <c r="F451" s="3">
        <v>41827.58</v>
      </c>
      <c r="G451" s="3">
        <v>0</v>
      </c>
      <c r="H451" s="3">
        <v>41827.58</v>
      </c>
      <c r="I451">
        <v>40</v>
      </c>
      <c r="J451" s="4">
        <v>0.75</v>
      </c>
      <c r="K451" s="3">
        <v>20.109413461538459</v>
      </c>
    </row>
    <row r="452" spans="1:11" x14ac:dyDescent="0.45">
      <c r="A452" t="s">
        <v>900</v>
      </c>
      <c r="B452" s="5" t="s">
        <v>34</v>
      </c>
      <c r="C452" t="s">
        <v>806</v>
      </c>
      <c r="D452" t="s">
        <v>901</v>
      </c>
      <c r="E452">
        <v>9</v>
      </c>
      <c r="F452" s="3">
        <v>44586.94</v>
      </c>
      <c r="G452" s="3">
        <v>8379.9</v>
      </c>
      <c r="H452" s="3">
        <v>52966.84</v>
      </c>
      <c r="I452">
        <v>30</v>
      </c>
      <c r="J452" s="4">
        <v>1</v>
      </c>
      <c r="K452" s="3">
        <v>33.953102564102558</v>
      </c>
    </row>
    <row r="453" spans="1:11" x14ac:dyDescent="0.45">
      <c r="A453" t="s">
        <v>902</v>
      </c>
      <c r="B453" s="5" t="s">
        <v>34</v>
      </c>
      <c r="C453" t="s">
        <v>806</v>
      </c>
      <c r="D453" t="s">
        <v>903</v>
      </c>
      <c r="E453">
        <v>7</v>
      </c>
      <c r="F453" s="3">
        <v>45239.3</v>
      </c>
      <c r="G453" s="3">
        <v>0</v>
      </c>
      <c r="H453" s="3">
        <v>45239.3</v>
      </c>
      <c r="I453">
        <v>40</v>
      </c>
      <c r="J453" s="4">
        <v>1</v>
      </c>
      <c r="K453" s="3">
        <v>21.749663461538461</v>
      </c>
    </row>
    <row r="454" spans="1:11" x14ac:dyDescent="0.45">
      <c r="A454" t="s">
        <v>904</v>
      </c>
      <c r="B454" s="5" t="s">
        <v>34</v>
      </c>
      <c r="C454" t="s">
        <v>806</v>
      </c>
      <c r="D454" t="s">
        <v>905</v>
      </c>
      <c r="E454">
        <v>8</v>
      </c>
      <c r="F454" s="3">
        <v>37580.71</v>
      </c>
      <c r="G454" s="3">
        <v>0</v>
      </c>
      <c r="H454" s="3">
        <v>37580.71</v>
      </c>
      <c r="I454">
        <v>40</v>
      </c>
      <c r="J454" s="4">
        <v>0.75</v>
      </c>
      <c r="K454" s="3">
        <v>18.067649038461539</v>
      </c>
    </row>
    <row r="455" spans="1:11" x14ac:dyDescent="0.45">
      <c r="A455" t="s">
        <v>906</v>
      </c>
      <c r="B455" s="5" t="s">
        <v>34</v>
      </c>
      <c r="C455" t="s">
        <v>806</v>
      </c>
      <c r="D455" t="s">
        <v>907</v>
      </c>
      <c r="E455">
        <v>12</v>
      </c>
      <c r="F455" s="3">
        <v>45869.19</v>
      </c>
      <c r="G455" s="3">
        <v>0</v>
      </c>
      <c r="H455" s="3">
        <v>45869.19</v>
      </c>
      <c r="I455">
        <v>40</v>
      </c>
      <c r="J455" s="4">
        <v>0.5</v>
      </c>
      <c r="K455" s="3">
        <v>22.052495192307688</v>
      </c>
    </row>
    <row r="456" spans="1:11" x14ac:dyDescent="0.45">
      <c r="A456" t="s">
        <v>908</v>
      </c>
      <c r="B456" s="5" t="s">
        <v>34</v>
      </c>
      <c r="C456" t="s">
        <v>806</v>
      </c>
      <c r="D456" t="s">
        <v>847</v>
      </c>
      <c r="E456">
        <v>4</v>
      </c>
      <c r="F456" s="3">
        <v>39616.25</v>
      </c>
      <c r="G456" s="3">
        <v>2650.21</v>
      </c>
      <c r="H456" s="3">
        <v>42266.46</v>
      </c>
      <c r="I456">
        <v>30</v>
      </c>
      <c r="J456" s="4">
        <v>1</v>
      </c>
      <c r="K456" s="3">
        <v>27.09388461538461</v>
      </c>
    </row>
    <row r="457" spans="1:11" x14ac:dyDescent="0.45">
      <c r="A457" t="s">
        <v>909</v>
      </c>
      <c r="B457" s="5" t="s">
        <v>34</v>
      </c>
      <c r="C457" t="s">
        <v>806</v>
      </c>
      <c r="D457" t="s">
        <v>910</v>
      </c>
      <c r="E457">
        <v>7</v>
      </c>
      <c r="F457" s="3">
        <v>42623.18</v>
      </c>
      <c r="G457" s="3">
        <v>4286.4799999999996</v>
      </c>
      <c r="H457" s="3">
        <v>46909.66</v>
      </c>
      <c r="I457">
        <v>20</v>
      </c>
      <c r="J457" s="4">
        <v>1</v>
      </c>
      <c r="K457" s="3">
        <v>45.105442307692321</v>
      </c>
    </row>
    <row r="458" spans="1:11" x14ac:dyDescent="0.45">
      <c r="A458" t="s">
        <v>911</v>
      </c>
      <c r="B458" s="5" t="s">
        <v>34</v>
      </c>
      <c r="C458" t="s">
        <v>806</v>
      </c>
      <c r="D458" t="s">
        <v>912</v>
      </c>
      <c r="E458">
        <v>10</v>
      </c>
      <c r="F458" s="3">
        <v>36105.94</v>
      </c>
      <c r="G458" s="3">
        <v>0</v>
      </c>
      <c r="H458" s="3">
        <v>36105.94</v>
      </c>
      <c r="I458">
        <v>30</v>
      </c>
      <c r="J458" s="4">
        <v>0.5</v>
      </c>
      <c r="K458" s="3">
        <v>23.144833333333331</v>
      </c>
    </row>
    <row r="459" spans="1:11" x14ac:dyDescent="0.45">
      <c r="A459" t="s">
        <v>913</v>
      </c>
      <c r="B459" s="5" t="s">
        <v>34</v>
      </c>
      <c r="C459" t="s">
        <v>806</v>
      </c>
      <c r="D459" t="s">
        <v>914</v>
      </c>
      <c r="E459">
        <v>3</v>
      </c>
      <c r="F459" s="3">
        <v>37935.120000000003</v>
      </c>
      <c r="G459" s="3">
        <v>0</v>
      </c>
      <c r="H459" s="3">
        <v>37935.120000000003</v>
      </c>
      <c r="I459">
        <v>40</v>
      </c>
      <c r="J459" s="4">
        <v>1</v>
      </c>
      <c r="K459" s="3">
        <v>18.238038461538469</v>
      </c>
    </row>
    <row r="460" spans="1:11" x14ac:dyDescent="0.45">
      <c r="A460" t="s">
        <v>915</v>
      </c>
      <c r="B460" s="5" t="s">
        <v>34</v>
      </c>
      <c r="C460" t="s">
        <v>806</v>
      </c>
      <c r="D460" t="s">
        <v>916</v>
      </c>
      <c r="E460">
        <v>1</v>
      </c>
      <c r="F460" s="3">
        <v>39729.449999999997</v>
      </c>
      <c r="G460" s="3">
        <v>0</v>
      </c>
      <c r="H460" s="3">
        <v>39729.449999999997</v>
      </c>
      <c r="I460">
        <v>40</v>
      </c>
      <c r="J460" s="4">
        <v>0.75</v>
      </c>
      <c r="K460" s="3">
        <v>19.100697115384609</v>
      </c>
    </row>
    <row r="461" spans="1:11" x14ac:dyDescent="0.45">
      <c r="A461" t="s">
        <v>917</v>
      </c>
      <c r="B461" s="5" t="s">
        <v>34</v>
      </c>
      <c r="C461" t="s">
        <v>806</v>
      </c>
      <c r="D461" t="s">
        <v>918</v>
      </c>
      <c r="E461">
        <v>8</v>
      </c>
      <c r="F461" s="3">
        <v>36826.26</v>
      </c>
      <c r="G461" s="3">
        <v>0</v>
      </c>
      <c r="H461" s="3">
        <v>36826.26</v>
      </c>
      <c r="I461">
        <v>40</v>
      </c>
      <c r="J461" s="4">
        <v>0.5</v>
      </c>
      <c r="K461" s="3">
        <v>17.70493269230769</v>
      </c>
    </row>
    <row r="462" spans="1:11" x14ac:dyDescent="0.45">
      <c r="A462" t="s">
        <v>919</v>
      </c>
      <c r="B462" s="2" t="s">
        <v>12</v>
      </c>
      <c r="C462" t="s">
        <v>920</v>
      </c>
      <c r="D462" t="s">
        <v>921</v>
      </c>
      <c r="E462">
        <v>6</v>
      </c>
      <c r="F462" s="3">
        <v>51209.51</v>
      </c>
      <c r="G462" s="3">
        <v>7581.7</v>
      </c>
      <c r="H462" s="3">
        <v>58791.21</v>
      </c>
      <c r="I462">
        <v>40</v>
      </c>
      <c r="J462" s="4">
        <v>1</v>
      </c>
      <c r="K462" s="3">
        <v>28.265004807692311</v>
      </c>
    </row>
    <row r="463" spans="1:11" x14ac:dyDescent="0.45">
      <c r="A463" t="s">
        <v>922</v>
      </c>
      <c r="B463" s="2" t="s">
        <v>12</v>
      </c>
      <c r="C463" t="s">
        <v>920</v>
      </c>
      <c r="D463" t="s">
        <v>923</v>
      </c>
      <c r="E463">
        <v>7</v>
      </c>
      <c r="F463" s="3">
        <v>41694.589999999997</v>
      </c>
      <c r="G463" s="3">
        <v>0</v>
      </c>
      <c r="H463" s="3">
        <v>41694.589999999997</v>
      </c>
      <c r="I463">
        <v>40</v>
      </c>
      <c r="J463" s="4">
        <v>1</v>
      </c>
      <c r="K463" s="3">
        <v>20.045475961538461</v>
      </c>
    </row>
    <row r="464" spans="1:11" x14ac:dyDescent="0.45">
      <c r="A464" t="s">
        <v>924</v>
      </c>
      <c r="B464" s="2" t="s">
        <v>12</v>
      </c>
      <c r="C464" t="s">
        <v>920</v>
      </c>
      <c r="D464" t="s">
        <v>925</v>
      </c>
      <c r="E464">
        <v>7</v>
      </c>
      <c r="F464" s="3">
        <v>43099.92</v>
      </c>
      <c r="G464" s="3">
        <v>0</v>
      </c>
      <c r="H464" s="3">
        <v>43099.92</v>
      </c>
      <c r="I464">
        <v>40</v>
      </c>
      <c r="J464" s="4">
        <v>1</v>
      </c>
      <c r="K464" s="3">
        <v>20.721115384615381</v>
      </c>
    </row>
    <row r="465" spans="1:11" x14ac:dyDescent="0.45">
      <c r="A465" t="s">
        <v>926</v>
      </c>
      <c r="B465" s="2" t="s">
        <v>12</v>
      </c>
      <c r="C465" t="s">
        <v>920</v>
      </c>
      <c r="D465" t="s">
        <v>910</v>
      </c>
      <c r="E465">
        <v>7</v>
      </c>
      <c r="F465" s="3">
        <v>50740.18</v>
      </c>
      <c r="G465" s="3">
        <v>0</v>
      </c>
      <c r="H465" s="3">
        <v>50740.18</v>
      </c>
      <c r="I465">
        <v>40</v>
      </c>
      <c r="J465" s="4">
        <v>1</v>
      </c>
      <c r="K465" s="3">
        <v>24.394317307692312</v>
      </c>
    </row>
    <row r="466" spans="1:11" x14ac:dyDescent="0.45">
      <c r="A466" t="s">
        <v>927</v>
      </c>
      <c r="B466" s="2" t="s">
        <v>12</v>
      </c>
      <c r="C466" t="s">
        <v>920</v>
      </c>
      <c r="D466" t="s">
        <v>928</v>
      </c>
      <c r="E466">
        <v>3</v>
      </c>
      <c r="F466" s="3">
        <v>46092.63</v>
      </c>
      <c r="G466" s="3">
        <v>0</v>
      </c>
      <c r="H466" s="3">
        <v>46092.63</v>
      </c>
      <c r="I466">
        <v>40</v>
      </c>
      <c r="J466" s="4">
        <v>1</v>
      </c>
      <c r="K466" s="3">
        <v>22.159918269230769</v>
      </c>
    </row>
    <row r="467" spans="1:11" x14ac:dyDescent="0.45">
      <c r="A467" t="s">
        <v>929</v>
      </c>
      <c r="B467" s="2" t="s">
        <v>12</v>
      </c>
      <c r="C467" t="s">
        <v>920</v>
      </c>
      <c r="D467" t="s">
        <v>930</v>
      </c>
      <c r="E467">
        <v>14</v>
      </c>
      <c r="F467" s="3">
        <v>47685.82</v>
      </c>
      <c r="G467" s="3">
        <v>0</v>
      </c>
      <c r="H467" s="3">
        <v>47685.82</v>
      </c>
      <c r="I467">
        <v>40</v>
      </c>
      <c r="J467" s="4">
        <v>1</v>
      </c>
      <c r="K467" s="3">
        <v>22.925875000000001</v>
      </c>
    </row>
    <row r="468" spans="1:11" x14ac:dyDescent="0.45">
      <c r="A468" t="s">
        <v>931</v>
      </c>
      <c r="B468" s="2" t="s">
        <v>12</v>
      </c>
      <c r="C468" t="s">
        <v>920</v>
      </c>
      <c r="D468" t="s">
        <v>932</v>
      </c>
      <c r="E468">
        <v>11</v>
      </c>
      <c r="F468" s="3">
        <v>46180.2</v>
      </c>
      <c r="G468" s="3">
        <v>0</v>
      </c>
      <c r="H468" s="3">
        <v>46180.2</v>
      </c>
      <c r="I468">
        <v>40</v>
      </c>
      <c r="J468" s="4">
        <v>1</v>
      </c>
      <c r="K468" s="3">
        <v>22.202019230769231</v>
      </c>
    </row>
    <row r="469" spans="1:11" x14ac:dyDescent="0.45">
      <c r="A469" t="s">
        <v>933</v>
      </c>
      <c r="B469" s="2" t="s">
        <v>12</v>
      </c>
      <c r="C469" t="s">
        <v>920</v>
      </c>
      <c r="D469" t="s">
        <v>934</v>
      </c>
      <c r="E469">
        <v>5</v>
      </c>
      <c r="F469" s="3">
        <v>51705.85</v>
      </c>
      <c r="G469" s="3">
        <v>0</v>
      </c>
      <c r="H469" s="3">
        <v>51705.85</v>
      </c>
      <c r="I469">
        <v>40</v>
      </c>
      <c r="J469" s="4">
        <v>1</v>
      </c>
      <c r="K469" s="3">
        <v>24.858581730769231</v>
      </c>
    </row>
    <row r="470" spans="1:11" x14ac:dyDescent="0.45">
      <c r="A470" t="s">
        <v>935</v>
      </c>
      <c r="B470" s="2" t="s">
        <v>12</v>
      </c>
      <c r="C470" t="s">
        <v>920</v>
      </c>
      <c r="D470" t="s">
        <v>936</v>
      </c>
      <c r="E470">
        <v>14</v>
      </c>
      <c r="F470" s="3">
        <v>51770.78</v>
      </c>
      <c r="G470" s="3">
        <v>0</v>
      </c>
      <c r="H470" s="3">
        <v>51770.78</v>
      </c>
      <c r="I470">
        <v>40</v>
      </c>
      <c r="J470" s="4">
        <v>1</v>
      </c>
      <c r="K470" s="3">
        <v>24.889798076923071</v>
      </c>
    </row>
    <row r="471" spans="1:11" x14ac:dyDescent="0.45">
      <c r="A471" t="s">
        <v>937</v>
      </c>
      <c r="B471" s="2" t="s">
        <v>12</v>
      </c>
      <c r="C471" t="s">
        <v>920</v>
      </c>
      <c r="D471" t="s">
        <v>938</v>
      </c>
      <c r="E471">
        <v>9</v>
      </c>
      <c r="F471" s="3">
        <v>53373.14</v>
      </c>
      <c r="G471" s="3">
        <v>6245.31</v>
      </c>
      <c r="H471" s="3">
        <v>59618.45</v>
      </c>
      <c r="I471">
        <v>40</v>
      </c>
      <c r="J471" s="4">
        <v>1</v>
      </c>
      <c r="K471" s="3">
        <v>28.662716346153839</v>
      </c>
    </row>
    <row r="472" spans="1:11" x14ac:dyDescent="0.45">
      <c r="A472" t="s">
        <v>939</v>
      </c>
      <c r="B472" s="2" t="s">
        <v>12</v>
      </c>
      <c r="C472" t="s">
        <v>920</v>
      </c>
      <c r="D472" t="s">
        <v>940</v>
      </c>
      <c r="E472">
        <v>2</v>
      </c>
      <c r="F472" s="3">
        <v>41924.68</v>
      </c>
      <c r="G472" s="3">
        <v>0</v>
      </c>
      <c r="H472" s="3">
        <v>41924.68</v>
      </c>
      <c r="I472">
        <v>40</v>
      </c>
      <c r="J472" s="4">
        <v>1</v>
      </c>
      <c r="K472" s="3">
        <v>20.15609615384616</v>
      </c>
    </row>
    <row r="473" spans="1:11" x14ac:dyDescent="0.45">
      <c r="A473" t="s">
        <v>941</v>
      </c>
      <c r="B473" s="2" t="s">
        <v>12</v>
      </c>
      <c r="C473" t="s">
        <v>920</v>
      </c>
      <c r="D473" t="s">
        <v>942</v>
      </c>
      <c r="E473">
        <v>5</v>
      </c>
      <c r="F473" s="3">
        <v>52734.35</v>
      </c>
      <c r="G473" s="3">
        <v>0</v>
      </c>
      <c r="H473" s="3">
        <v>52734.35</v>
      </c>
      <c r="I473">
        <v>40</v>
      </c>
      <c r="J473" s="4">
        <v>1</v>
      </c>
      <c r="K473" s="3">
        <v>25.35305288461538</v>
      </c>
    </row>
    <row r="474" spans="1:11" x14ac:dyDescent="0.45">
      <c r="A474" t="s">
        <v>943</v>
      </c>
      <c r="B474" s="2" t="s">
        <v>12</v>
      </c>
      <c r="C474" t="s">
        <v>920</v>
      </c>
      <c r="D474" t="s">
        <v>944</v>
      </c>
      <c r="E474">
        <v>8</v>
      </c>
      <c r="F474" s="3">
        <v>49046.9</v>
      </c>
      <c r="G474" s="3">
        <v>0</v>
      </c>
      <c r="H474" s="3">
        <v>49046.9</v>
      </c>
      <c r="I474">
        <v>40</v>
      </c>
      <c r="J474" s="4">
        <v>1</v>
      </c>
      <c r="K474" s="3">
        <v>23.58024038461539</v>
      </c>
    </row>
    <row r="475" spans="1:11" x14ac:dyDescent="0.45">
      <c r="A475" t="s">
        <v>945</v>
      </c>
      <c r="B475" s="2" t="s">
        <v>12</v>
      </c>
      <c r="C475" t="s">
        <v>920</v>
      </c>
      <c r="D475" t="s">
        <v>946</v>
      </c>
      <c r="E475">
        <v>5</v>
      </c>
      <c r="F475" s="3">
        <v>53104.6</v>
      </c>
      <c r="G475" s="3">
        <v>0</v>
      </c>
      <c r="H475" s="3">
        <v>53104.6</v>
      </c>
      <c r="I475">
        <v>40</v>
      </c>
      <c r="J475" s="4">
        <v>1</v>
      </c>
      <c r="K475" s="3">
        <v>25.531057692307691</v>
      </c>
    </row>
    <row r="476" spans="1:11" x14ac:dyDescent="0.45">
      <c r="A476" t="s">
        <v>947</v>
      </c>
      <c r="B476" s="2" t="s">
        <v>12</v>
      </c>
      <c r="C476" t="s">
        <v>920</v>
      </c>
      <c r="D476" t="s">
        <v>948</v>
      </c>
      <c r="E476">
        <v>12</v>
      </c>
      <c r="F476" s="3">
        <v>51123.62</v>
      </c>
      <c r="G476" s="3">
        <v>0</v>
      </c>
      <c r="H476" s="3">
        <v>51123.62</v>
      </c>
      <c r="I476">
        <v>40</v>
      </c>
      <c r="J476" s="4">
        <v>1</v>
      </c>
      <c r="K476" s="3">
        <v>24.578663461538461</v>
      </c>
    </row>
    <row r="477" spans="1:11" x14ac:dyDescent="0.45">
      <c r="A477" t="s">
        <v>949</v>
      </c>
      <c r="B477" s="2" t="s">
        <v>12</v>
      </c>
      <c r="C477" t="s">
        <v>920</v>
      </c>
      <c r="D477" t="s">
        <v>403</v>
      </c>
      <c r="E477">
        <v>10</v>
      </c>
      <c r="F477" s="3">
        <v>47214.95</v>
      </c>
      <c r="G477" s="3">
        <v>3295.21</v>
      </c>
      <c r="H477" s="3">
        <v>50510.16</v>
      </c>
      <c r="I477">
        <v>40</v>
      </c>
      <c r="J477" s="4">
        <v>1</v>
      </c>
      <c r="K477" s="3">
        <v>24.283730769230768</v>
      </c>
    </row>
    <row r="478" spans="1:11" x14ac:dyDescent="0.45">
      <c r="A478" t="s">
        <v>950</v>
      </c>
      <c r="B478" s="2" t="s">
        <v>12</v>
      </c>
      <c r="C478" t="s">
        <v>920</v>
      </c>
      <c r="D478" t="s">
        <v>951</v>
      </c>
      <c r="E478">
        <v>7</v>
      </c>
      <c r="F478" s="3">
        <v>47377.9</v>
      </c>
      <c r="G478" s="3">
        <v>5654.87</v>
      </c>
      <c r="H478" s="3">
        <v>53032.77</v>
      </c>
      <c r="I478">
        <v>40</v>
      </c>
      <c r="J478" s="4">
        <v>1</v>
      </c>
      <c r="K478" s="3">
        <v>25.496524038461541</v>
      </c>
    </row>
    <row r="479" spans="1:11" x14ac:dyDescent="0.45">
      <c r="A479" t="s">
        <v>952</v>
      </c>
      <c r="B479" s="2" t="s">
        <v>12</v>
      </c>
      <c r="C479" t="s">
        <v>920</v>
      </c>
      <c r="D479" t="s">
        <v>953</v>
      </c>
      <c r="E479">
        <v>1</v>
      </c>
      <c r="F479" s="3">
        <v>51215.23</v>
      </c>
      <c r="G479" s="3">
        <v>0</v>
      </c>
      <c r="H479" s="3">
        <v>51215.23</v>
      </c>
      <c r="I479">
        <v>40</v>
      </c>
      <c r="J479" s="4">
        <v>1</v>
      </c>
      <c r="K479" s="3">
        <v>24.622706730769231</v>
      </c>
    </row>
    <row r="480" spans="1:11" x14ac:dyDescent="0.45">
      <c r="A480" t="s">
        <v>954</v>
      </c>
      <c r="B480" s="2" t="s">
        <v>12</v>
      </c>
      <c r="C480" t="s">
        <v>920</v>
      </c>
      <c r="D480" t="s">
        <v>955</v>
      </c>
      <c r="E480">
        <v>2</v>
      </c>
      <c r="F480" s="3">
        <v>51539.58</v>
      </c>
      <c r="G480" s="3">
        <v>0</v>
      </c>
      <c r="H480" s="3">
        <v>51539.58</v>
      </c>
      <c r="I480">
        <v>40</v>
      </c>
      <c r="J480" s="4">
        <v>1</v>
      </c>
      <c r="K480" s="3">
        <v>24.778644230769231</v>
      </c>
    </row>
    <row r="481" spans="1:11" x14ac:dyDescent="0.45">
      <c r="A481" t="s">
        <v>956</v>
      </c>
      <c r="B481" s="2" t="s">
        <v>12</v>
      </c>
      <c r="C481" t="s">
        <v>920</v>
      </c>
      <c r="D481" t="s">
        <v>957</v>
      </c>
      <c r="E481">
        <v>13</v>
      </c>
      <c r="F481" s="3">
        <v>46901.24</v>
      </c>
      <c r="G481" s="3">
        <v>0</v>
      </c>
      <c r="H481" s="3">
        <v>46901.24</v>
      </c>
      <c r="I481">
        <v>40</v>
      </c>
      <c r="J481" s="4">
        <v>1</v>
      </c>
      <c r="K481" s="3">
        <v>22.54867307692308</v>
      </c>
    </row>
    <row r="482" spans="1:11" x14ac:dyDescent="0.45">
      <c r="A482" t="s">
        <v>958</v>
      </c>
      <c r="B482" s="5" t="s">
        <v>34</v>
      </c>
      <c r="C482" t="s">
        <v>920</v>
      </c>
      <c r="D482" t="s">
        <v>959</v>
      </c>
      <c r="E482">
        <v>2</v>
      </c>
      <c r="F482" s="3">
        <v>47077.72</v>
      </c>
      <c r="G482" s="3">
        <v>0</v>
      </c>
      <c r="H482" s="3">
        <v>47077.72</v>
      </c>
      <c r="I482">
        <v>30</v>
      </c>
      <c r="J482" s="4">
        <v>1</v>
      </c>
      <c r="K482" s="3">
        <v>30.178025641025641</v>
      </c>
    </row>
    <row r="483" spans="1:11" x14ac:dyDescent="0.45">
      <c r="A483" t="s">
        <v>960</v>
      </c>
      <c r="B483" s="5" t="s">
        <v>34</v>
      </c>
      <c r="C483" t="s">
        <v>920</v>
      </c>
      <c r="D483" t="s">
        <v>961</v>
      </c>
      <c r="E483">
        <v>4</v>
      </c>
      <c r="F483" s="3">
        <v>38381.22</v>
      </c>
      <c r="G483" s="3">
        <v>0</v>
      </c>
      <c r="H483" s="3">
        <v>38381.22</v>
      </c>
      <c r="I483">
        <v>30</v>
      </c>
      <c r="J483" s="4">
        <v>1</v>
      </c>
      <c r="K483" s="3">
        <v>24.603346153846161</v>
      </c>
    </row>
    <row r="484" spans="1:11" x14ac:dyDescent="0.45">
      <c r="A484" t="s">
        <v>962</v>
      </c>
      <c r="B484" s="5" t="s">
        <v>34</v>
      </c>
      <c r="C484" t="s">
        <v>920</v>
      </c>
      <c r="D484" t="s">
        <v>963</v>
      </c>
      <c r="E484">
        <v>9</v>
      </c>
      <c r="F484" s="3">
        <v>47062.14</v>
      </c>
      <c r="G484" s="3">
        <v>0</v>
      </c>
      <c r="H484" s="3">
        <v>47062.14</v>
      </c>
      <c r="I484">
        <v>30</v>
      </c>
      <c r="J484" s="4">
        <v>1</v>
      </c>
      <c r="K484" s="3">
        <v>30.168038461538469</v>
      </c>
    </row>
    <row r="485" spans="1:11" x14ac:dyDescent="0.45">
      <c r="A485" t="s">
        <v>964</v>
      </c>
      <c r="B485" s="5" t="s">
        <v>34</v>
      </c>
      <c r="C485" t="s">
        <v>920</v>
      </c>
      <c r="D485" t="s">
        <v>965</v>
      </c>
      <c r="E485">
        <v>13</v>
      </c>
      <c r="F485" s="3">
        <v>43247.58</v>
      </c>
      <c r="G485" s="3">
        <v>0</v>
      </c>
      <c r="H485" s="3">
        <v>43247.58</v>
      </c>
      <c r="I485">
        <v>40</v>
      </c>
      <c r="J485" s="4">
        <v>1</v>
      </c>
      <c r="K485" s="3">
        <v>20.792105769230769</v>
      </c>
    </row>
    <row r="486" spans="1:11" x14ac:dyDescent="0.45">
      <c r="A486" t="s">
        <v>966</v>
      </c>
      <c r="B486" s="5" t="s">
        <v>34</v>
      </c>
      <c r="C486" t="s">
        <v>920</v>
      </c>
      <c r="D486" t="s">
        <v>967</v>
      </c>
      <c r="E486">
        <v>9</v>
      </c>
      <c r="F486" s="3">
        <v>36309.19</v>
      </c>
      <c r="G486" s="3">
        <v>0</v>
      </c>
      <c r="H486" s="3">
        <v>36309.19</v>
      </c>
      <c r="I486">
        <v>20</v>
      </c>
      <c r="J486" s="4">
        <v>1</v>
      </c>
      <c r="K486" s="3">
        <v>34.912682692307698</v>
      </c>
    </row>
    <row r="487" spans="1:11" x14ac:dyDescent="0.45">
      <c r="A487" t="s">
        <v>968</v>
      </c>
      <c r="B487" s="5" t="s">
        <v>34</v>
      </c>
      <c r="C487" t="s">
        <v>920</v>
      </c>
      <c r="D487" t="s">
        <v>969</v>
      </c>
      <c r="E487">
        <v>1</v>
      </c>
      <c r="F487" s="3">
        <v>43802.66</v>
      </c>
      <c r="G487" s="3">
        <v>0</v>
      </c>
      <c r="H487" s="3">
        <v>43802.66</v>
      </c>
      <c r="I487">
        <v>40</v>
      </c>
      <c r="J487" s="4">
        <v>1</v>
      </c>
      <c r="K487" s="3">
        <v>21.058971153846159</v>
      </c>
    </row>
    <row r="488" spans="1:11" x14ac:dyDescent="0.45">
      <c r="A488" t="s">
        <v>970</v>
      </c>
      <c r="B488" s="5" t="s">
        <v>34</v>
      </c>
      <c r="C488" t="s">
        <v>920</v>
      </c>
      <c r="D488" t="s">
        <v>971</v>
      </c>
      <c r="E488">
        <v>10</v>
      </c>
      <c r="F488" s="3">
        <v>40544.949999999997</v>
      </c>
      <c r="G488" s="3">
        <v>0</v>
      </c>
      <c r="H488" s="3">
        <v>40544.949999999997</v>
      </c>
      <c r="I488">
        <v>20</v>
      </c>
      <c r="J488" s="4">
        <v>0.75</v>
      </c>
      <c r="K488" s="3">
        <v>38.985528846153841</v>
      </c>
    </row>
    <row r="489" spans="1:11" x14ac:dyDescent="0.45">
      <c r="A489" t="s">
        <v>972</v>
      </c>
      <c r="B489" s="5" t="s">
        <v>34</v>
      </c>
      <c r="C489" t="s">
        <v>920</v>
      </c>
      <c r="D489" t="s">
        <v>973</v>
      </c>
      <c r="E489">
        <v>8</v>
      </c>
      <c r="F489" s="3">
        <v>44977.33</v>
      </c>
      <c r="G489" s="3">
        <v>0</v>
      </c>
      <c r="H489" s="3">
        <v>44977.33</v>
      </c>
      <c r="I489">
        <v>40</v>
      </c>
      <c r="J489" s="4">
        <v>1</v>
      </c>
      <c r="K489" s="3">
        <v>21.623716346153849</v>
      </c>
    </row>
    <row r="490" spans="1:11" x14ac:dyDescent="0.45">
      <c r="A490" t="s">
        <v>974</v>
      </c>
      <c r="B490" s="5" t="s">
        <v>34</v>
      </c>
      <c r="C490" t="s">
        <v>920</v>
      </c>
      <c r="D490" t="s">
        <v>975</v>
      </c>
      <c r="E490">
        <v>3</v>
      </c>
      <c r="F490" s="3">
        <v>37168.31</v>
      </c>
      <c r="G490" s="3">
        <v>0</v>
      </c>
      <c r="H490" s="3">
        <v>37168.31</v>
      </c>
      <c r="I490">
        <v>40</v>
      </c>
      <c r="J490" s="4">
        <v>0.75</v>
      </c>
      <c r="K490" s="3">
        <v>17.869379807692312</v>
      </c>
    </row>
    <row r="491" spans="1:11" x14ac:dyDescent="0.45">
      <c r="A491" t="s">
        <v>976</v>
      </c>
      <c r="B491" s="5" t="s">
        <v>34</v>
      </c>
      <c r="C491" t="s">
        <v>920</v>
      </c>
      <c r="D491" t="s">
        <v>977</v>
      </c>
      <c r="E491">
        <v>1</v>
      </c>
      <c r="F491" s="3">
        <v>42413.56</v>
      </c>
      <c r="G491" s="3">
        <v>0</v>
      </c>
      <c r="H491" s="3">
        <v>42413.56</v>
      </c>
      <c r="I491">
        <v>40</v>
      </c>
      <c r="J491" s="4">
        <v>1</v>
      </c>
      <c r="K491" s="3">
        <v>20.391134615384608</v>
      </c>
    </row>
    <row r="492" spans="1:11" x14ac:dyDescent="0.45">
      <c r="A492" t="s">
        <v>978</v>
      </c>
      <c r="B492" s="5" t="s">
        <v>34</v>
      </c>
      <c r="C492" t="s">
        <v>920</v>
      </c>
      <c r="D492" t="s">
        <v>979</v>
      </c>
      <c r="E492">
        <v>11</v>
      </c>
      <c r="F492" s="3">
        <v>35677.68</v>
      </c>
      <c r="G492" s="3">
        <v>0</v>
      </c>
      <c r="H492" s="3">
        <v>35677.68</v>
      </c>
      <c r="I492">
        <v>20</v>
      </c>
      <c r="J492" s="4">
        <v>1</v>
      </c>
      <c r="K492" s="3">
        <v>34.305461538461543</v>
      </c>
    </row>
    <row r="493" spans="1:11" x14ac:dyDescent="0.45">
      <c r="A493" t="s">
        <v>980</v>
      </c>
      <c r="B493" s="5" t="s">
        <v>34</v>
      </c>
      <c r="C493" t="s">
        <v>920</v>
      </c>
      <c r="D493" t="s">
        <v>981</v>
      </c>
      <c r="E493">
        <v>13</v>
      </c>
      <c r="F493" s="3">
        <v>37860.230000000003</v>
      </c>
      <c r="G493" s="3">
        <v>4385.8999999999996</v>
      </c>
      <c r="H493" s="3">
        <v>42246.13</v>
      </c>
      <c r="I493">
        <v>40</v>
      </c>
      <c r="J493" s="4">
        <v>1</v>
      </c>
      <c r="K493" s="3">
        <v>20.310639423076921</v>
      </c>
    </row>
    <row r="494" spans="1:11" x14ac:dyDescent="0.45">
      <c r="A494" t="s">
        <v>982</v>
      </c>
      <c r="B494" s="5" t="s">
        <v>34</v>
      </c>
      <c r="C494" t="s">
        <v>920</v>
      </c>
      <c r="D494" t="s">
        <v>983</v>
      </c>
      <c r="E494">
        <v>6</v>
      </c>
      <c r="F494" s="3">
        <v>36573.67</v>
      </c>
      <c r="G494" s="3">
        <v>0</v>
      </c>
      <c r="H494" s="3">
        <v>36573.67</v>
      </c>
      <c r="I494">
        <v>20</v>
      </c>
      <c r="J494" s="4">
        <v>1</v>
      </c>
      <c r="K494" s="3">
        <v>35.166990384615382</v>
      </c>
    </row>
    <row r="495" spans="1:11" x14ac:dyDescent="0.45">
      <c r="A495" t="s">
        <v>984</v>
      </c>
      <c r="B495" s="5" t="s">
        <v>34</v>
      </c>
      <c r="C495" t="s">
        <v>920</v>
      </c>
      <c r="D495" t="s">
        <v>985</v>
      </c>
      <c r="E495">
        <v>8</v>
      </c>
      <c r="F495" s="3">
        <v>41952.94</v>
      </c>
      <c r="G495" s="3">
        <v>0</v>
      </c>
      <c r="H495" s="3">
        <v>41952.94</v>
      </c>
      <c r="I495">
        <v>40</v>
      </c>
      <c r="J495" s="4">
        <v>1</v>
      </c>
      <c r="K495" s="3">
        <v>20.169682692307688</v>
      </c>
    </row>
    <row r="496" spans="1:11" x14ac:dyDescent="0.45">
      <c r="A496" t="s">
        <v>986</v>
      </c>
      <c r="B496" s="5" t="s">
        <v>34</v>
      </c>
      <c r="C496" t="s">
        <v>920</v>
      </c>
      <c r="D496" t="s">
        <v>987</v>
      </c>
      <c r="E496">
        <v>12</v>
      </c>
      <c r="F496" s="3">
        <v>45627.98</v>
      </c>
      <c r="G496" s="3">
        <v>0</v>
      </c>
      <c r="H496" s="3">
        <v>45627.98</v>
      </c>
      <c r="I496">
        <v>40</v>
      </c>
      <c r="J496" s="4">
        <v>0.75</v>
      </c>
      <c r="K496" s="3">
        <v>21.936528846153848</v>
      </c>
    </row>
    <row r="497" spans="1:11" x14ac:dyDescent="0.45">
      <c r="A497" t="s">
        <v>988</v>
      </c>
      <c r="B497" s="5" t="s">
        <v>34</v>
      </c>
      <c r="C497" t="s">
        <v>920</v>
      </c>
      <c r="D497" t="s">
        <v>989</v>
      </c>
      <c r="E497">
        <v>4</v>
      </c>
      <c r="F497" s="3">
        <v>38546.160000000003</v>
      </c>
      <c r="G497" s="3">
        <v>7411.58</v>
      </c>
      <c r="H497" s="3">
        <v>45957.740000000013</v>
      </c>
      <c r="I497">
        <v>30</v>
      </c>
      <c r="J497" s="4">
        <v>0.5</v>
      </c>
      <c r="K497" s="3">
        <v>29.460089743589752</v>
      </c>
    </row>
    <row r="498" spans="1:11" x14ac:dyDescent="0.45">
      <c r="A498" t="s">
        <v>990</v>
      </c>
      <c r="B498" s="5" t="s">
        <v>34</v>
      </c>
      <c r="C498" t="s">
        <v>920</v>
      </c>
      <c r="D498" t="s">
        <v>991</v>
      </c>
      <c r="E498">
        <v>9</v>
      </c>
      <c r="F498" s="3">
        <v>40946.14</v>
      </c>
      <c r="G498" s="3">
        <v>0</v>
      </c>
      <c r="H498" s="3">
        <v>40946.14</v>
      </c>
      <c r="I498">
        <v>20</v>
      </c>
      <c r="J498" s="4">
        <v>1</v>
      </c>
      <c r="K498" s="3">
        <v>39.371288461538462</v>
      </c>
    </row>
    <row r="499" spans="1:11" x14ac:dyDescent="0.45">
      <c r="A499" t="s">
        <v>992</v>
      </c>
      <c r="B499" s="5" t="s">
        <v>34</v>
      </c>
      <c r="C499" t="s">
        <v>920</v>
      </c>
      <c r="D499" t="s">
        <v>993</v>
      </c>
      <c r="E499">
        <v>7</v>
      </c>
      <c r="F499" s="3">
        <v>43414.59</v>
      </c>
      <c r="G499" s="3">
        <v>0</v>
      </c>
      <c r="H499" s="3">
        <v>43414.59</v>
      </c>
      <c r="I499">
        <v>30</v>
      </c>
      <c r="J499" s="4">
        <v>1</v>
      </c>
      <c r="K499" s="3">
        <v>27.829865384615381</v>
      </c>
    </row>
    <row r="500" spans="1:11" x14ac:dyDescent="0.45">
      <c r="A500" t="s">
        <v>994</v>
      </c>
      <c r="B500" s="5" t="s">
        <v>34</v>
      </c>
      <c r="C500" t="s">
        <v>920</v>
      </c>
      <c r="D500" t="s">
        <v>995</v>
      </c>
      <c r="E500">
        <v>6</v>
      </c>
      <c r="F500" s="3">
        <v>44129.32</v>
      </c>
      <c r="G500" s="3">
        <v>0</v>
      </c>
      <c r="H500" s="3">
        <v>44129.32</v>
      </c>
      <c r="I500">
        <v>40</v>
      </c>
      <c r="J500" s="4">
        <v>1</v>
      </c>
      <c r="K500" s="3">
        <v>21.216019230769231</v>
      </c>
    </row>
    <row r="501" spans="1:11" x14ac:dyDescent="0.45">
      <c r="A501" t="s">
        <v>996</v>
      </c>
      <c r="B501" s="5" t="s">
        <v>34</v>
      </c>
      <c r="C501" t="s">
        <v>920</v>
      </c>
      <c r="D501" t="s">
        <v>997</v>
      </c>
      <c r="E501">
        <v>13</v>
      </c>
      <c r="F501" s="3">
        <v>44761.05</v>
      </c>
      <c r="G501" s="3">
        <v>0</v>
      </c>
      <c r="H501" s="3">
        <v>44761.05</v>
      </c>
      <c r="I501">
        <v>30</v>
      </c>
      <c r="J501" s="4">
        <v>0.75</v>
      </c>
      <c r="K501" s="3">
        <v>28.692980769230768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9.06640625" defaultRowHeight="14.25" x14ac:dyDescent="0.45"/>
  <cols>
    <col min="1" max="1" width="30" customWidth="1"/>
    <col min="2" max="3" width="18" customWidth="1"/>
    <col min="4" max="4" width="15" customWidth="1"/>
    <col min="5" max="5" width="12" customWidth="1"/>
  </cols>
  <sheetData>
    <row r="1" spans="1:6" ht="21" x14ac:dyDescent="0.65">
      <c r="A1" s="23" t="s">
        <v>998</v>
      </c>
      <c r="B1" s="21"/>
      <c r="C1" s="21"/>
      <c r="D1" s="21"/>
      <c r="E1" s="21"/>
      <c r="F1" s="21"/>
    </row>
    <row r="2" spans="1:6" x14ac:dyDescent="0.45">
      <c r="A2" s="20" t="s">
        <v>999</v>
      </c>
      <c r="B2" s="21"/>
      <c r="C2" s="21"/>
      <c r="D2" s="21"/>
      <c r="E2" s="21"/>
      <c r="F2" s="21"/>
    </row>
    <row r="4" spans="1:6" ht="15.75" x14ac:dyDescent="0.5">
      <c r="A4" s="24" t="s">
        <v>1000</v>
      </c>
      <c r="B4" s="21"/>
      <c r="C4" s="21"/>
      <c r="D4" s="21"/>
      <c r="E4" s="21"/>
      <c r="F4" s="21"/>
    </row>
    <row r="5" spans="1:6" ht="18" x14ac:dyDescent="0.55000000000000004">
      <c r="A5" t="s">
        <v>1001</v>
      </c>
      <c r="B5" s="6">
        <f>COUNTA(Mitarbeiterdaten!A2:A501)</f>
        <v>500</v>
      </c>
    </row>
    <row r="6" spans="1:6" x14ac:dyDescent="0.45">
      <c r="A6" t="s">
        <v>1002</v>
      </c>
      <c r="B6">
        <f>COUNTIF(Mitarbeiterdaten!B:B,"F")</f>
        <v>250</v>
      </c>
      <c r="C6" s="7">
        <f>B6/B5</f>
        <v>0.5</v>
      </c>
    </row>
    <row r="7" spans="1:6" x14ac:dyDescent="0.45">
      <c r="A7" t="s">
        <v>1003</v>
      </c>
      <c r="B7">
        <f>COUNTIF(Mitarbeiterdaten!B:B,"M")</f>
        <v>250</v>
      </c>
      <c r="C7" s="7">
        <f>B7/B5</f>
        <v>0.5</v>
      </c>
    </row>
    <row r="8" spans="1:6" x14ac:dyDescent="0.45">
      <c r="A8" t="s">
        <v>1004</v>
      </c>
      <c r="B8" s="8">
        <f ca="1">COUNTA(_xludf.UNIQUE(Mitarbeiterdaten!C2:C501))</f>
        <v>1</v>
      </c>
    </row>
    <row r="10" spans="1:6" ht="15.75" x14ac:dyDescent="0.5">
      <c r="A10" s="22" t="s">
        <v>1005</v>
      </c>
      <c r="B10" s="21"/>
      <c r="C10" s="21"/>
      <c r="D10" s="21"/>
      <c r="E10" s="21"/>
      <c r="F10" s="21"/>
    </row>
    <row r="11" spans="1:6" x14ac:dyDescent="0.45">
      <c r="A11" s="9" t="s">
        <v>1006</v>
      </c>
      <c r="B11" s="9" t="s">
        <v>1007</v>
      </c>
      <c r="C11" s="9" t="s">
        <v>1008</v>
      </c>
      <c r="D11" s="9" t="s">
        <v>1009</v>
      </c>
      <c r="E11" s="9" t="s">
        <v>1010</v>
      </c>
    </row>
    <row r="12" spans="1:6" ht="15.75" x14ac:dyDescent="0.5">
      <c r="A12" t="s">
        <v>1011</v>
      </c>
      <c r="B12" s="10">
        <f>AVERAGEIF(Mitarbeiterdaten!B:B,"F",Mitarbeiterdaten!H:H)</f>
        <v>69206.097000000009</v>
      </c>
      <c r="C12" s="10">
        <f>AVERAGEIF(Mitarbeiterdaten!B:B,"M",Mitarbeiterdaten!H:H)</f>
        <v>75310.380160000001</v>
      </c>
      <c r="D12" s="10">
        <f>C12-B12</f>
        <v>6104.2831599999918</v>
      </c>
      <c r="E12" s="11">
        <f>(C12-B12)/C12</f>
        <v>8.1055003932143099E-2</v>
      </c>
    </row>
    <row r="13" spans="1:6" x14ac:dyDescent="0.45">
      <c r="A13" t="s">
        <v>1012</v>
      </c>
      <c r="B13" s="10">
        <f>MEDIAN(IF(Mitarbeiterdaten!B2:B501="F",Mitarbeiterdaten!H2:H501))</f>
        <v>69974.58</v>
      </c>
      <c r="C13" s="10">
        <f>MEDIAN(IF(Mitarbeiterdaten!B2:B501="M",Mitarbeiterdaten!H2:H501))</f>
        <v>0</v>
      </c>
      <c r="D13" s="10">
        <f>C13-B13</f>
        <v>-69974.58</v>
      </c>
      <c r="E13" s="7" t="e">
        <f>(C13-B13)/C13</f>
        <v>#DIV/0!</v>
      </c>
    </row>
    <row r="15" spans="1:6" ht="15.75" x14ac:dyDescent="0.5">
      <c r="A15" s="25" t="s">
        <v>1013</v>
      </c>
      <c r="B15" s="21"/>
      <c r="C15" s="21"/>
      <c r="D15" s="21"/>
      <c r="E15" s="21"/>
      <c r="F15" s="21"/>
    </row>
    <row r="16" spans="1:6" x14ac:dyDescent="0.45">
      <c r="A16" t="s">
        <v>1014</v>
      </c>
      <c r="B16" s="12" t="str">
        <f>IF(B5&gt;=250,"JA - Jährlich","NEIN")</f>
        <v>JA - Jährlich</v>
      </c>
    </row>
    <row r="17" spans="1:2" x14ac:dyDescent="0.45">
      <c r="A17" t="s">
        <v>1015</v>
      </c>
      <c r="B17" s="13" t="s">
        <v>1016</v>
      </c>
    </row>
    <row r="18" spans="1:2" x14ac:dyDescent="0.45">
      <c r="A18" t="s">
        <v>1017</v>
      </c>
      <c r="B18" s="14" t="s">
        <v>1018</v>
      </c>
    </row>
  </sheetData>
  <mergeCells count="5">
    <mergeCell ref="A2:F2"/>
    <mergeCell ref="A10:F10"/>
    <mergeCell ref="A1:F1"/>
    <mergeCell ref="A4:F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baseColWidth="10" defaultColWidth="9.06640625" defaultRowHeight="14.25" x14ac:dyDescent="0.45"/>
  <cols>
    <col min="1" max="1" width="25" customWidth="1"/>
    <col min="2" max="9" width="13" customWidth="1"/>
  </cols>
  <sheetData>
    <row r="1" spans="1:9" ht="18" x14ac:dyDescent="0.55000000000000004">
      <c r="A1" s="27" t="s">
        <v>1019</v>
      </c>
      <c r="B1" s="21"/>
      <c r="C1" s="21"/>
      <c r="D1" s="21"/>
      <c r="E1" s="21"/>
      <c r="F1" s="21"/>
      <c r="G1" s="21"/>
      <c r="H1" s="21"/>
    </row>
    <row r="2" spans="1:9" x14ac:dyDescent="0.45">
      <c r="A2" s="26" t="s">
        <v>1020</v>
      </c>
      <c r="B2" s="21"/>
      <c r="C2" s="21"/>
      <c r="D2" s="21"/>
      <c r="E2" s="21"/>
      <c r="F2" s="21"/>
      <c r="G2" s="21"/>
      <c r="H2" s="21"/>
    </row>
    <row r="4" spans="1:9" ht="28.5" x14ac:dyDescent="0.45">
      <c r="A4" s="15" t="s">
        <v>2</v>
      </c>
      <c r="B4" s="15" t="s">
        <v>1021</v>
      </c>
      <c r="C4" s="15" t="s">
        <v>1022</v>
      </c>
      <c r="D4" s="15" t="s">
        <v>1023</v>
      </c>
      <c r="E4" s="15" t="s">
        <v>1010</v>
      </c>
      <c r="F4" s="15" t="s">
        <v>1024</v>
      </c>
      <c r="G4" s="15" t="s">
        <v>1025</v>
      </c>
      <c r="H4" s="15" t="s">
        <v>1026</v>
      </c>
      <c r="I4" s="15" t="s">
        <v>1027</v>
      </c>
    </row>
    <row r="5" spans="1:9" x14ac:dyDescent="0.45">
      <c r="A5" t="s">
        <v>13</v>
      </c>
      <c r="B5" s="8">
        <f>COUNTIF(Mitarbeiterdaten!C:C,A5)</f>
        <v>20</v>
      </c>
      <c r="C5" s="8">
        <f>AVERAGEIFS(Mitarbeiterdaten!H:H,Mitarbeiterdaten!C:C,A5,Mitarbeiterdaten!B:B,"F")</f>
        <v>159880.22500000003</v>
      </c>
      <c r="D5" s="8">
        <f>AVERAGEIFS(Mitarbeiterdaten!H:H,Mitarbeiterdaten!C:C,A5,Mitarbeiterdaten!B:B,"M")</f>
        <v>155346.31699999998</v>
      </c>
      <c r="E5" s="16">
        <f t="shared" ref="E5:E12" si="0">IF(D5=0,0,(D5-C5)/D5)</f>
        <v>-2.9185809406733824E-2</v>
      </c>
      <c r="F5" t="str">
        <f t="shared" ref="F5:F12" si="1">IF(E5&gt;=0.05,"⚠️ SCHWELLENWERT",IF(E5&gt;=0.03,"⚡ Beobachten","✅ OK"))</f>
        <v>✅ OK</v>
      </c>
      <c r="G5" s="8">
        <f>MEDIAN(IF((Mitarbeiterdaten!C2:C501=A5)*(Mitarbeiterdaten!B2:B501="F"),Mitarbeiterdaten!H2:H501))</f>
        <v>0</v>
      </c>
      <c r="H5" s="8">
        <f>MEDIAN(IF((Mitarbeiterdaten!C2:C501=A5)*(Mitarbeiterdaten!B2:B501="M"),Mitarbeiterdaten!H2:H501))</f>
        <v>69974.58</v>
      </c>
      <c r="I5" s="7">
        <f t="shared" ref="I5:I12" si="2">IF(H5=0,0,(H5-G5)/H5)</f>
        <v>1</v>
      </c>
    </row>
    <row r="6" spans="1:9" x14ac:dyDescent="0.45">
      <c r="A6" t="s">
        <v>55</v>
      </c>
      <c r="B6" s="8">
        <f>COUNTIF(Mitarbeiterdaten!C:C,A6)</f>
        <v>50</v>
      </c>
      <c r="C6" s="8">
        <f>AVERAGEIFS(Mitarbeiterdaten!H:H,Mitarbeiterdaten!C:C,A6,Mitarbeiterdaten!B:B,"F")</f>
        <v>96953.111199999985</v>
      </c>
      <c r="D6" s="8">
        <f>AVERAGEIFS(Mitarbeiterdaten!H:H,Mitarbeiterdaten!C:C,A6,Mitarbeiterdaten!B:B,"M")</f>
        <v>103950.63200000001</v>
      </c>
      <c r="E6" s="16">
        <f t="shared" si="0"/>
        <v>6.7315808142465419E-2</v>
      </c>
      <c r="F6" t="str">
        <f t="shared" si="1"/>
        <v>⚠️ SCHWELLENWERT</v>
      </c>
      <c r="G6" s="8">
        <f>MEDIAN(IF((Mitarbeiterdaten!C2:C501=A6)*(Mitarbeiterdaten!B2:B501="F"),Mitarbeiterdaten!H2:H501))</f>
        <v>0</v>
      </c>
      <c r="H6" s="8">
        <f>MEDIAN(IF((Mitarbeiterdaten!C2:C501=A6)*(Mitarbeiterdaten!B2:B501="M"),Mitarbeiterdaten!H2:H501))</f>
        <v>0</v>
      </c>
      <c r="I6" s="7">
        <f t="shared" si="2"/>
        <v>0</v>
      </c>
    </row>
    <row r="7" spans="1:9" x14ac:dyDescent="0.45">
      <c r="A7" t="s">
        <v>155</v>
      </c>
      <c r="B7" s="8">
        <f>COUNTIF(Mitarbeiterdaten!C:C,A7)</f>
        <v>120</v>
      </c>
      <c r="C7" s="8">
        <f>AVERAGEIFS(Mitarbeiterdaten!H:H,Mitarbeiterdaten!C:C,A7,Mitarbeiterdaten!B:B,"F")</f>
        <v>69491.062999999995</v>
      </c>
      <c r="D7" s="8">
        <f>AVERAGEIFS(Mitarbeiterdaten!H:H,Mitarbeiterdaten!C:C,A7,Mitarbeiterdaten!B:B,"M")</f>
        <v>79205.664333333349</v>
      </c>
      <c r="E7" s="16">
        <f t="shared" si="0"/>
        <v>0.1226503358705497</v>
      </c>
      <c r="F7" t="str">
        <f t="shared" si="1"/>
        <v>⚠️ SCHWELLENWERT</v>
      </c>
      <c r="G7" s="8">
        <f>MEDIAN(IF((Mitarbeiterdaten!C2:C501=A7)*(Mitarbeiterdaten!B2:B501="F"),Mitarbeiterdaten!H2:H501))</f>
        <v>0</v>
      </c>
      <c r="H7" s="8">
        <f>MEDIAN(IF((Mitarbeiterdaten!C2:C501=A7)*(Mitarbeiterdaten!B2:B501="M"),Mitarbeiterdaten!H2:H501))</f>
        <v>0</v>
      </c>
      <c r="I7" s="7">
        <f t="shared" si="2"/>
        <v>0</v>
      </c>
    </row>
    <row r="8" spans="1:9" x14ac:dyDescent="0.45">
      <c r="A8" t="s">
        <v>392</v>
      </c>
      <c r="B8" s="8">
        <f>COUNTIF(Mitarbeiterdaten!C:C,A8)</f>
        <v>80</v>
      </c>
      <c r="C8" s="8">
        <f>AVERAGEIFS(Mitarbeiterdaten!H:H,Mitarbeiterdaten!C:C,A8,Mitarbeiterdaten!B:B,"F")</f>
        <v>68100.228499999997</v>
      </c>
      <c r="D8" s="8">
        <f>AVERAGEIFS(Mitarbeiterdaten!H:H,Mitarbeiterdaten!C:C,A8,Mitarbeiterdaten!B:B,"M")</f>
        <v>76411.239000000001</v>
      </c>
      <c r="E8" s="16">
        <f t="shared" si="0"/>
        <v>0.1087668595453609</v>
      </c>
      <c r="F8" t="str">
        <f t="shared" si="1"/>
        <v>⚠️ SCHWELLENWERT</v>
      </c>
      <c r="G8" s="8">
        <f>MEDIAN(IF((Mitarbeiterdaten!C2:C501=A8)*(Mitarbeiterdaten!B2:B501="F"),Mitarbeiterdaten!H2:H501))</f>
        <v>0</v>
      </c>
      <c r="H8" s="8">
        <f>MEDIAN(IF((Mitarbeiterdaten!C2:C501=A8)*(Mitarbeiterdaten!B2:B501="M"),Mitarbeiterdaten!H2:H501))</f>
        <v>0</v>
      </c>
      <c r="I8" s="7">
        <f t="shared" si="2"/>
        <v>0</v>
      </c>
    </row>
    <row r="9" spans="1:9" x14ac:dyDescent="0.45">
      <c r="A9" t="s">
        <v>550</v>
      </c>
      <c r="B9" s="8">
        <f>COUNTIF(Mitarbeiterdaten!C:C,A9)</f>
        <v>60</v>
      </c>
      <c r="C9" s="8">
        <f>AVERAGEIFS(Mitarbeiterdaten!H:H,Mitarbeiterdaten!C:C,A9,Mitarbeiterdaten!B:B,"F")</f>
        <v>77534.126333333348</v>
      </c>
      <c r="D9" s="8">
        <f>AVERAGEIFS(Mitarbeiterdaten!H:H,Mitarbeiterdaten!C:C,A9,Mitarbeiterdaten!B:B,"M")</f>
        <v>85688.05799999999</v>
      </c>
      <c r="E9" s="16">
        <f t="shared" si="0"/>
        <v>9.5158320272197588E-2</v>
      </c>
      <c r="F9" t="str">
        <f t="shared" si="1"/>
        <v>⚠️ SCHWELLENWERT</v>
      </c>
      <c r="G9" s="8">
        <f>MEDIAN(IF((Mitarbeiterdaten!C2:C501=A9)*(Mitarbeiterdaten!B2:B501="F"),Mitarbeiterdaten!H2:H501))</f>
        <v>0</v>
      </c>
      <c r="H9" s="8">
        <f>MEDIAN(IF((Mitarbeiterdaten!C2:C501=A9)*(Mitarbeiterdaten!B2:B501="M"),Mitarbeiterdaten!H2:H501))</f>
        <v>0</v>
      </c>
      <c r="I9" s="7">
        <f t="shared" si="2"/>
        <v>0</v>
      </c>
    </row>
    <row r="10" spans="1:9" x14ac:dyDescent="0.45">
      <c r="A10" t="s">
        <v>669</v>
      </c>
      <c r="B10" s="8">
        <f>COUNTIF(Mitarbeiterdaten!C:C,A10)</f>
        <v>70</v>
      </c>
      <c r="C10" s="8">
        <f>AVERAGEIFS(Mitarbeiterdaten!H:H,Mitarbeiterdaten!C:C,A10,Mitarbeiterdaten!B:B,"F")</f>
        <v>56266.648285714291</v>
      </c>
      <c r="D10" s="8">
        <f>AVERAGEIFS(Mitarbeiterdaten!H:H,Mitarbeiterdaten!C:C,A10,Mitarbeiterdaten!B:B,"M")</f>
        <v>57514.568571428579</v>
      </c>
      <c r="E10" s="16">
        <f t="shared" si="0"/>
        <v>2.1697464081026168E-2</v>
      </c>
      <c r="F10" t="str">
        <f t="shared" si="1"/>
        <v>✅ OK</v>
      </c>
      <c r="G10" s="8">
        <f>MEDIAN(IF((Mitarbeiterdaten!C2:C501=A10)*(Mitarbeiterdaten!B2:B501="F"),Mitarbeiterdaten!H2:H501))</f>
        <v>0</v>
      </c>
      <c r="H10" s="8">
        <f>MEDIAN(IF((Mitarbeiterdaten!C2:C501=A10)*(Mitarbeiterdaten!B2:B501="M"),Mitarbeiterdaten!H2:H501))</f>
        <v>0</v>
      </c>
      <c r="I10" s="7">
        <f t="shared" si="2"/>
        <v>0</v>
      </c>
    </row>
    <row r="11" spans="1:9" x14ac:dyDescent="0.45">
      <c r="A11" t="s">
        <v>806</v>
      </c>
      <c r="B11" s="8">
        <f>COUNTIF(Mitarbeiterdaten!C:C,A11)</f>
        <v>60</v>
      </c>
      <c r="C11" s="8">
        <f>AVERAGEIFS(Mitarbeiterdaten!H:H,Mitarbeiterdaten!C:C,A11,Mitarbeiterdaten!B:B,"F")</f>
        <v>41593.097333333331</v>
      </c>
      <c r="D11" s="8">
        <f>AVERAGEIFS(Mitarbeiterdaten!H:H,Mitarbeiterdaten!C:C,A11,Mitarbeiterdaten!B:B,"M")</f>
        <v>42813.741666666669</v>
      </c>
      <c r="E11" s="16">
        <f t="shared" si="0"/>
        <v>2.8510573610614594E-2</v>
      </c>
      <c r="F11" t="str">
        <f t="shared" si="1"/>
        <v>✅ OK</v>
      </c>
      <c r="G11" s="8">
        <f>MEDIAN(IF((Mitarbeiterdaten!C2:C501=A11)*(Mitarbeiterdaten!B2:B501="F"),Mitarbeiterdaten!H2:H501))</f>
        <v>0</v>
      </c>
      <c r="H11" s="8">
        <f>MEDIAN(IF((Mitarbeiterdaten!C2:C501=A11)*(Mitarbeiterdaten!B2:B501="M"),Mitarbeiterdaten!H2:H501))</f>
        <v>0</v>
      </c>
      <c r="I11" s="7">
        <f t="shared" si="2"/>
        <v>0</v>
      </c>
    </row>
    <row r="12" spans="1:9" x14ac:dyDescent="0.45">
      <c r="A12" t="s">
        <v>920</v>
      </c>
      <c r="B12" s="8">
        <f>COUNTIF(Mitarbeiterdaten!C:C,A12)</f>
        <v>40</v>
      </c>
      <c r="C12" s="8">
        <f>AVERAGEIFS(Mitarbeiterdaten!H:H,Mitarbeiterdaten!C:C,A12,Mitarbeiterdaten!B:B,"F")</f>
        <v>42113.595000000001</v>
      </c>
      <c r="D12" s="8">
        <f>AVERAGEIFS(Mitarbeiterdaten!H:H,Mitarbeiterdaten!C:C,A12,Mitarbeiterdaten!B:B,"M")</f>
        <v>49925.637999999992</v>
      </c>
      <c r="E12" s="16">
        <f t="shared" si="0"/>
        <v>0.15647357375783544</v>
      </c>
      <c r="F12" t="str">
        <f t="shared" si="1"/>
        <v>⚠️ SCHWELLENWERT</v>
      </c>
      <c r="G12" s="8">
        <f>MEDIAN(IF((Mitarbeiterdaten!C2:C501=A12)*(Mitarbeiterdaten!B2:B501="F"),Mitarbeiterdaten!H2:H501))</f>
        <v>0</v>
      </c>
      <c r="H12" s="8">
        <f>MEDIAN(IF((Mitarbeiterdaten!C2:C501=A12)*(Mitarbeiterdaten!B2:B501="M"),Mitarbeiterdaten!H2:H501))</f>
        <v>0</v>
      </c>
      <c r="I12" s="7">
        <f t="shared" si="2"/>
        <v>0</v>
      </c>
    </row>
    <row r="14" spans="1:9" x14ac:dyDescent="0.45">
      <c r="A14" s="17" t="s">
        <v>1028</v>
      </c>
    </row>
    <row r="15" spans="1:9" x14ac:dyDescent="0.45">
      <c r="A15" t="s">
        <v>1029</v>
      </c>
      <c r="B15" s="18">
        <f>COUNTIF(E5:E12,"&gt;=0.05")</f>
        <v>0</v>
      </c>
    </row>
    <row r="16" spans="1:9" x14ac:dyDescent="0.45">
      <c r="A16" s="19" t="s">
        <v>1030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/>
  </sheetViews>
  <sheetFormatPr baseColWidth="10" defaultColWidth="9.06640625" defaultRowHeight="14.25" x14ac:dyDescent="0.45"/>
  <cols>
    <col min="1" max="1" width="50" customWidth="1"/>
    <col min="2" max="2" width="40" customWidth="1"/>
  </cols>
  <sheetData>
    <row r="1" spans="1:4" ht="18" x14ac:dyDescent="0.55000000000000004">
      <c r="A1" s="28" t="s">
        <v>1031</v>
      </c>
      <c r="B1" s="21"/>
      <c r="C1" s="21"/>
      <c r="D1" s="21"/>
    </row>
    <row r="3" spans="1:4" x14ac:dyDescent="0.45">
      <c r="A3" t="s">
        <v>1032</v>
      </c>
    </row>
    <row r="4" spans="1:4" x14ac:dyDescent="0.45">
      <c r="A4" t="s">
        <v>1033</v>
      </c>
    </row>
    <row r="6" spans="1:4" x14ac:dyDescent="0.45">
      <c r="A6" t="s">
        <v>1034</v>
      </c>
    </row>
    <row r="7" spans="1:4" x14ac:dyDescent="0.45">
      <c r="A7" t="s">
        <v>1035</v>
      </c>
      <c r="B7" t="s">
        <v>1036</v>
      </c>
    </row>
    <row r="8" spans="1:4" x14ac:dyDescent="0.45">
      <c r="A8" t="s">
        <v>1037</v>
      </c>
      <c r="B8" t="s">
        <v>1038</v>
      </c>
    </row>
    <row r="9" spans="1:4" x14ac:dyDescent="0.45">
      <c r="A9" t="s">
        <v>1039</v>
      </c>
      <c r="B9" t="s">
        <v>1040</v>
      </c>
    </row>
    <row r="11" spans="1:4" x14ac:dyDescent="0.45">
      <c r="A11" t="s">
        <v>1041</v>
      </c>
    </row>
    <row r="12" spans="1:4" x14ac:dyDescent="0.45">
      <c r="A12" t="s">
        <v>1042</v>
      </c>
    </row>
    <row r="13" spans="1:4" x14ac:dyDescent="0.45">
      <c r="A13" t="s">
        <v>1043</v>
      </c>
    </row>
    <row r="14" spans="1:4" x14ac:dyDescent="0.45">
      <c r="A14" t="s">
        <v>1044</v>
      </c>
    </row>
    <row r="15" spans="1:4" x14ac:dyDescent="0.45">
      <c r="A15" t="s">
        <v>1045</v>
      </c>
    </row>
    <row r="17" spans="1:2" x14ac:dyDescent="0.45">
      <c r="A17" t="s">
        <v>1046</v>
      </c>
    </row>
    <row r="18" spans="1:2" x14ac:dyDescent="0.45">
      <c r="A18" t="s">
        <v>1047</v>
      </c>
      <c r="B18" t="s">
        <v>1048</v>
      </c>
    </row>
    <row r="19" spans="1:2" x14ac:dyDescent="0.45">
      <c r="A19" t="s">
        <v>1049</v>
      </c>
      <c r="B19" t="s">
        <v>1050</v>
      </c>
    </row>
    <row r="20" spans="1:2" x14ac:dyDescent="0.45">
      <c r="A20" t="s">
        <v>1051</v>
      </c>
      <c r="B20" t="s">
        <v>1052</v>
      </c>
    </row>
    <row r="22" spans="1:2" x14ac:dyDescent="0.45">
      <c r="A22" t="s">
        <v>1053</v>
      </c>
    </row>
    <row r="23" spans="1:2" x14ac:dyDescent="0.45">
      <c r="A23" t="s">
        <v>1054</v>
      </c>
    </row>
    <row r="24" spans="1:2" x14ac:dyDescent="0.45">
      <c r="A24" t="s">
        <v>1055</v>
      </c>
    </row>
    <row r="25" spans="1:2" x14ac:dyDescent="0.45">
      <c r="A25" t="s">
        <v>1056</v>
      </c>
    </row>
    <row r="26" spans="1:2" x14ac:dyDescent="0.45">
      <c r="A26" t="s">
        <v>1057</v>
      </c>
    </row>
    <row r="27" spans="1:2" x14ac:dyDescent="0.45">
      <c r="A27" t="s">
        <v>1058</v>
      </c>
    </row>
    <row r="29" spans="1:2" x14ac:dyDescent="0.45">
      <c r="A29" t="s">
        <v>1059</v>
      </c>
    </row>
    <row r="30" spans="1:2" x14ac:dyDescent="0.45">
      <c r="A30" t="s">
        <v>1060</v>
      </c>
    </row>
    <row r="31" spans="1:2" x14ac:dyDescent="0.45">
      <c r="A31" t="s">
        <v>1061</v>
      </c>
    </row>
    <row r="32" spans="1:2" x14ac:dyDescent="0.45">
      <c r="A32" t="s">
        <v>1062</v>
      </c>
    </row>
    <row r="34" spans="1:2" x14ac:dyDescent="0.45">
      <c r="A34" t="s">
        <v>1063</v>
      </c>
    </row>
    <row r="35" spans="1:2" x14ac:dyDescent="0.45">
      <c r="A35" t="s">
        <v>1064</v>
      </c>
    </row>
    <row r="36" spans="1:2" x14ac:dyDescent="0.45">
      <c r="A36" t="s">
        <v>1065</v>
      </c>
    </row>
    <row r="37" spans="1:2" x14ac:dyDescent="0.45">
      <c r="A37" t="s">
        <v>1066</v>
      </c>
    </row>
    <row r="38" spans="1:2" x14ac:dyDescent="0.45">
      <c r="A38" t="s">
        <v>1067</v>
      </c>
    </row>
    <row r="40" spans="1:2" x14ac:dyDescent="0.45">
      <c r="A40" t="s">
        <v>1068</v>
      </c>
    </row>
    <row r="41" spans="1:2" x14ac:dyDescent="0.45">
      <c r="A41" t="s">
        <v>1069</v>
      </c>
    </row>
    <row r="42" spans="1:2" x14ac:dyDescent="0.45">
      <c r="A42" t="s">
        <v>1070</v>
      </c>
    </row>
    <row r="43" spans="1:2" x14ac:dyDescent="0.45">
      <c r="A43" t="s">
        <v>1071</v>
      </c>
      <c r="B43" t="s">
        <v>1040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Mitarbeiterdaten</vt:lpstr>
      <vt:lpstr>Übersicht</vt:lpstr>
      <vt:lpstr>Berechnungen</vt:lpstr>
      <vt:lpstr>Dokumentation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Ehrenreich</cp:lastModifiedBy>
  <dcterms:created xsi:type="dcterms:W3CDTF">2025-12-02T10:28:52Z</dcterms:created>
  <dcterms:modified xsi:type="dcterms:W3CDTF">2025-12-03T09:10:11Z</dcterms:modified>
</cp:coreProperties>
</file>